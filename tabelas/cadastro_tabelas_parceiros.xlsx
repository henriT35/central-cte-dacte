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155984aae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3a5040236f144365"/>
    <x:sheet xmlns:r="http://schemas.openxmlformats.org/officeDocument/2006/relationships" name="PARCEIROS" sheetId="2" r:id="Rd520d1d727544f98"/>
    <x:sheet xmlns:r="http://schemas.openxmlformats.org/officeDocument/2006/relationships" name="REGRAS_PERCENTUAL" sheetId="3" r:id="Rfca01c2acdd140ce"/>
    <x:sheet xmlns:r="http://schemas.openxmlformats.org/officeDocument/2006/relationships" name="REGRAS_EXTRAS" sheetId="4" r:id="R6dfa164575884b85"/>
    <x:sheet xmlns:r="http://schemas.openxmlformats.org/officeDocument/2006/relationships" name="REGIOES" sheetId="5" r:id="Rd54f1baaf7334ac9"/>
    <x:sheet xmlns:r="http://schemas.openxmlformats.org/officeDocument/2006/relationships" name="CONFIG_PROGRAMA" sheetId="6" r:id="R551aabd09b2643f7"/>
    <x:sheet xmlns:r="http://schemas.openxmlformats.org/officeDocument/2006/relationships" name="MAPEAMENTO_BASE" sheetId="7" r:id="Rdda58a82ee844229"/>
    <x:sheet xmlns:r="http://schemas.openxmlformats.org/officeDocument/2006/relationships" name="DICIONARIO" sheetId="8" r:id="R46a39cc22aba45c6"/>
    <x:sheet xmlns:r="http://schemas.openxmlformats.org/officeDocument/2006/relationships" name="VALIDACAO_EXEMPLO" sheetId="9" r:id="R5381438a8d14432b"/>
    <x:sheet xmlns:r="http://schemas.openxmlformats.org/officeDocument/2006/relationships" name="RODOTEC_DESTINOS" sheetId="10" r:id="Ref806150b8094776"/>
    <x:sheet xmlns:r="http://schemas.openxmlformats.org/officeDocument/2006/relationships" name="PENDENCIAS_RODOTEC" sheetId="11" r:id="Rcf3856692bea4b5b"/>
    <x:sheet xmlns:r="http://schemas.openxmlformats.org/officeDocument/2006/relationships" name="RODOTEC_REVISAO_FINAL" sheetId="12" r:id="R0fb5590da81e48eb"/>
    <x:sheet xmlns:r="http://schemas.openxmlformats.org/officeDocument/2006/relationships" name="ALIAS_PARCEIROS" sheetId="13" r:id="R7c20dd0e1c8a4983"/>
    <x:sheet xmlns:r="http://schemas.openxmlformats.org/officeDocument/2006/relationships" name="PENDENCIAS_VALIDACAO" sheetId="14" r:id="Rb0f14d5588c64bfd"/>
    <x:sheet xmlns:r="http://schemas.openxmlformats.org/officeDocument/2006/relationships" name="DIAG_PARCEIROS" sheetId="15" r:id="R85a16b41b8c1465a"/>
    <x:sheet xmlns:r="http://schemas.openxmlformats.org/officeDocument/2006/relationships" name="DIAG_NF_NAO_ENCONTRADA" sheetId="16" r:id="R8e097dae25b84c89"/>
    <x:sheet xmlns:r="http://schemas.openxmlformats.org/officeDocument/2006/relationships" name="DIAG_REGRAS" sheetId="17" r:id="Rd1b8defa18b344c1"/>
    <x:sheet xmlns:r="http://schemas.openxmlformats.org/officeDocument/2006/relationships" name="DIAG_DIVERGENCIAS" sheetId="18" r:id="R4fef64afdb9747f5"/>
    <x:sheet xmlns:r="http://schemas.openxmlformats.org/officeDocument/2006/relationships" name="REGRAS_ADICIONADAS_2605" sheetId="19" r:id="R6d5dcab635c94577"/>
    <x:sheet xmlns:r="http://schemas.openxmlformats.org/officeDocument/2006/relationships" name="ATUALIZACOES_2606" sheetId="20" r:id="Rd436c47b09e24663"/>
    <x:sheet xmlns:r="http://schemas.openxmlformats.org/officeDocument/2006/relationships" name="REGRAS_PESO_ESPECIAL" sheetId="21" r:id="Rb75090fef76f41c9"/>
    <x:sheet xmlns:r="http://schemas.openxmlformats.org/officeDocument/2006/relationships" name="ATUALIZACOES_RC12" sheetId="22" r:id="R13305fbbf28c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0B4F9F"/>
      </x:patternFill>
    </x:fill>
    <x:fill>
      <x:patternFill patternType="solid">
        <x:fgColor rgb="FF087A3D"/>
      </x:patternFill>
    </x:fill>
    <x:fill>
      <x:patternFill patternType="solid">
        <x:fgColor rgb="FF4C1D95"/>
      </x:patternFill>
    </x:fill>
    <x:fill>
      <x:patternFill patternType="solid">
        <x:fgColor rgb="FFB45309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0B3B91"/>
      </x:patternFill>
    </x:fill>
    <x:fill>
      <x:patternFill patternType="solid">
        <x:fgColor rgb="FFEAF2FF"/>
      </x:patternFill>
    </x:fill>
    <x:fill>
      <x:patternFill patternType="solid">
        <x:fgColor rgb="FF0B5EE8"/>
      </x:patternFill>
    </x:fill>
    <x:fill>
      <x:patternFill patternType="solid">
        <x:fgColor rgb="FF0B5EE8"/>
      </x:patternFill>
    </x:fill>
    <x:fill>
      <x:patternFill patternType="solid">
        <x:fgColor rgb="FF0B3A7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horizontal="center"/>
    </x:xf>
    <x:xf numFmtId="0" fontId="1" fillId="18" borderId="0" xfId="0" applyNumberFormat="1" applyFont="1" applyFill="1" applyBorder="1" applyAlignment="1">
      <x:alignment horizontal="center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horizont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horizontal="center"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horizontal="center" wrapText="1"/>
    </x:xf>
    <x:xf numFmtId="0" fontId="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1" fillId="22" borderId="2" xfId="0" applyNumberFormat="1" applyFont="1" applyFill="1" applyBorder="1" applyAlignment="1">
      <x:alignment horizontal="center" vertical="center" wrapText="1"/>
    </x:xf>
    <x:xf numFmtId="0" fontId="1" fillId="22" borderId="3" xfId="0" applyNumberFormat="1" applyFont="1" applyFill="1" applyBorder="1" applyAlignment="1">
      <x:alignment horizontal="center" vertical="center" wrapText="1"/>
    </x:xf>
    <x:xf numFmtId="0" fontId="1" fillId="2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300a9c28e4780" /><Relationship Type="http://schemas.openxmlformats.org/officeDocument/2006/relationships/theme" Target="/xl/theme/theme1.xml" Id="R991e7f9088de4ada" /><Relationship Type="http://schemas.openxmlformats.org/officeDocument/2006/relationships/sharedStrings" Target="/xl/sharedStrings.xml" Id="Rf244f197fc704d79" /><Relationship Type="http://schemas.openxmlformats.org/officeDocument/2006/relationships/worksheet" Target="/xl/worksheets/sheet1.xml" Id="R3a5040236f144365" /><Relationship Type="http://schemas.openxmlformats.org/officeDocument/2006/relationships/worksheet" Target="/xl/worksheets/sheet2.xml" Id="Rd520d1d727544f98" /><Relationship Type="http://schemas.openxmlformats.org/officeDocument/2006/relationships/worksheet" Target="/xl/worksheets/sheet3.xml" Id="Rfca01c2acdd140ce" /><Relationship Type="http://schemas.openxmlformats.org/officeDocument/2006/relationships/worksheet" Target="/xl/worksheets/sheet4.xml" Id="R6dfa164575884b85" /><Relationship Type="http://schemas.openxmlformats.org/officeDocument/2006/relationships/worksheet" Target="/xl/worksheets/sheet5.xml" Id="Rd54f1baaf7334ac9" /><Relationship Type="http://schemas.openxmlformats.org/officeDocument/2006/relationships/worksheet" Target="/xl/worksheets/sheet6.xml" Id="R551aabd09b2643f7" /><Relationship Type="http://schemas.openxmlformats.org/officeDocument/2006/relationships/worksheet" Target="/xl/worksheets/sheet7.xml" Id="Rdda58a82ee844229" /><Relationship Type="http://schemas.openxmlformats.org/officeDocument/2006/relationships/worksheet" Target="/xl/worksheets/sheet8.xml" Id="R46a39cc22aba45c6" /><Relationship Type="http://schemas.openxmlformats.org/officeDocument/2006/relationships/worksheet" Target="/xl/worksheets/sheet9.xml" Id="R5381438a8d14432b" /><Relationship Type="http://schemas.openxmlformats.org/officeDocument/2006/relationships/worksheet" Target="/xl/worksheets/sheet10.xml" Id="Ref806150b8094776" /><Relationship Type="http://schemas.openxmlformats.org/officeDocument/2006/relationships/worksheet" Target="/xl/worksheets/sheet11.xml" Id="Rcf3856692bea4b5b" /><Relationship Type="http://schemas.openxmlformats.org/officeDocument/2006/relationships/worksheet" Target="/xl/worksheets/sheet12.xml" Id="R0fb5590da81e48eb" /><Relationship Type="http://schemas.openxmlformats.org/officeDocument/2006/relationships/worksheet" Target="/xl/worksheets/sheet13.xml" Id="R7c20dd0e1c8a4983" /><Relationship Type="http://schemas.openxmlformats.org/officeDocument/2006/relationships/worksheet" Target="/xl/worksheets/sheet14.xml" Id="Rb0f14d5588c64bfd" /><Relationship Type="http://schemas.openxmlformats.org/officeDocument/2006/relationships/worksheet" Target="/xl/worksheets/sheet15.xml" Id="R85a16b41b8c1465a" /><Relationship Type="http://schemas.openxmlformats.org/officeDocument/2006/relationships/worksheet" Target="/xl/worksheets/sheet16.xml" Id="R8e097dae25b84c89" /><Relationship Type="http://schemas.openxmlformats.org/officeDocument/2006/relationships/worksheet" Target="/xl/worksheets/sheet17.xml" Id="Rd1b8defa18b344c1" /><Relationship Type="http://schemas.openxmlformats.org/officeDocument/2006/relationships/worksheet" Target="/xl/worksheets/sheet18.xml" Id="R4fef64afdb9747f5" /><Relationship Type="http://schemas.openxmlformats.org/officeDocument/2006/relationships/worksheet" Target="/xl/worksheets/sheet19.xml" Id="R6d5dcab635c94577" /><Relationship Type="http://schemas.openxmlformats.org/officeDocument/2006/relationships/worksheet" Target="/xl/worksheets/sheet20.xml" Id="Rd436c47b09e24663" /><Relationship Type="http://schemas.openxmlformats.org/officeDocument/2006/relationships/worksheet" Target="/xl/worksheets/sheet21.xml" Id="Rb75090fef76f41c9" /><Relationship Type="http://schemas.openxmlformats.org/officeDocument/2006/relationships/worksheet" Target="/xl/worksheets/sheet22.xml" Id="R13305fbbf28c49e6" /></Relationships>
</file>

<file path=xl/tables/table1.xml><?xml version="1.0" encoding="utf-8"?>
<x:table xmlns:x="http://schemas.openxmlformats.org/spreadsheetml/2006/main" id="1" name="TabelaInstrucoes" displayName="TabelaInstrucoes" ref="A1:B7" headerRowCount="1">
  <x:tableColumns count="2">
    <x:tableColumn id="1" name="Seção"/>
    <x:tableColumn id="2" name="Descrição"/>
  </x:tableColumns>
  <x:tableStyleInfo name="TableStyleMedium2" showRowStripes="1"/>
</x:table>
</file>

<file path=xl/tables/table2.xml><?xml version="1.0" encoding="utf-8"?>
<x:table xmlns:x="http://schemas.openxmlformats.org/spreadsheetml/2006/main" id="2" name="TabelaParceiros" displayName="TabelaParceiros" ref="A1:K10" headerRowCount="1">
  <x:tableColumns count="11">
    <x:tableColumn id="1" name="Parceiro ID"/>
    <x:tableColumn id="2" name="Nome Parceiro"/>
    <x:tableColumn id="3" name="CNPJ"/>
    <x:tableColumn id="4" name="Nome no XML / Alias principal"/>
    <x:tableColumn id="5" name="Origem base"/>
    <x:tableColumn id="6" name="UF base"/>
    <x:tableColumn id="7" name="Tipo tabela principal"/>
    <x:tableColumn id="8" name="Status"/>
    <x:tableColumn id="9" name="Fonte PDF"/>
    <x:tableColumn id="10" name="Páginas"/>
    <x:tableColumn id="11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TabelaRegrasPercentual" displayName="TabelaRegrasPercentual" ref="A1:W192" headerRowCount="1">
  <x:tableColumns count="23">
    <x:tableColumn id="1" name="Regra ID"/>
    <x:tableColumn id="2" name="Parceiro ID"/>
    <x:tableColumn id="3" name="Vigência Início"/>
    <x:tableColumn id="4" name="Vigência Fim"/>
    <x:tableColumn id="5" name="Origem Cidade"/>
    <x:tableColumn id="6" name="Origem UF"/>
    <x:tableColumn id="7" name="Destino Cidade"/>
    <x:tableColumn id="8" name="Destino UF"/>
    <x:tableColumn id="9" name="Região / Base"/>
    <x:tableColumn id="10" name="Tipo Trecho"/>
    <x:tableColumn id="11" name="Percentual"/>
    <x:tableColumn id="12" name="Frete Mínimo"/>
    <x:tableColumn id="13" name="Pedágio"/>
    <x:tableColumn id="14" name="Taxa CT-e"/>
    <x:tableColumn id="15" name="Repasse"/>
    <x:tableColumn id="16" name="Prazo"/>
    <x:tableColumn id="17" name="Coleta/Entrega"/>
    <x:tableColumn id="18" name="Base Cálculo"/>
    <x:tableColumn id="19" name="Inclui Complementar?"/>
    <x:tableColumn id="20" name="Status Revisão"/>
    <x:tableColumn id="21" name="Fonte PDF"/>
    <x:tableColumn id="22" name="Página"/>
    <x:tableColumn id="23" name="Observação"/>
  </x:tableColumns>
  <x:tableStyleInfo name="TableStyleMedium2" showRowStripes="1"/>
</x:table>
</file>

<file path=xl/tables/table4.xml><?xml version="1.0" encoding="utf-8"?>
<x:table xmlns:x="http://schemas.openxmlformats.org/spreadsheetml/2006/main" id="4" name="TabelaRegrasExtras" displayName="TabelaRegrasExtras" ref="A1:L32" headerRowCount="1">
  <x:tableColumns count="12">
    <x:tableColumn id="1" name="Extra ID"/>
    <x:tableColumn id="2" name="Parceiro ID"/>
    <x:tableColumn id="3" name="Tipo Extra"/>
    <x:tableColumn id="4" name="Regra / Descrição"/>
    <x:tableColumn id="5" name="Valor"/>
    <x:tableColumn id="6" name="Percentual"/>
    <x:tableColumn id="7" name="Base Cálculo"/>
    <x:tableColumn id="8" name="Condição"/>
    <x:tableColumn id="9" name="Status Revisão"/>
    <x:tableColumn id="10" name="Fonte PDF"/>
    <x:tableColumn id="11" name="Página"/>
    <x:tableColumn id="12" name="Observação"/>
  </x:tableColumns>
  <x:tableStyleInfo name="TableStyleMedium2" showRowStripes="1"/>
</x:table>
</file>

<file path=xl/tables/table5.xml><?xml version="1.0" encoding="utf-8"?>
<x:table xmlns:x="http://schemas.openxmlformats.org/spreadsheetml/2006/main" id="5" name="TabelaRegioes" displayName="TabelaRegioes" ref="A1:K187" headerRowCount="1">
  <x:tableColumns count="11">
    <x:tableColumn id="1" name="Região ID"/>
    <x:tableColumn id="2" name="Parceiro ID"/>
    <x:tableColumn id="3" name="Região/Base"/>
    <x:tableColumn id="4" name="Cidade"/>
    <x:tableColumn id="5" name="UF"/>
    <x:tableColumn id="6" name="Percentual Default"/>
    <x:tableColumn id="7" name="Frete Mínimo Default"/>
    <x:tableColumn id="8" name="Prazo Default"/>
    <x:tableColumn id="9" name="Fonte PDF"/>
    <x:tableColumn id="10" name="Página"/>
    <x:tableColumn id="11" name="Status Revisão"/>
  </x:tableColumns>
  <x:tableStyleInfo name="TableStyleMedium2" showRowStripes="1"/>
</x:table>
</file>

<file path=xl/tables/table6.xml><?xml version="1.0" encoding="utf-8"?>
<x:table xmlns:x="http://schemas.openxmlformats.org/spreadsheetml/2006/main" id="6" name="TabelaConfigPrograma" displayName="TabelaConfigPrograma" ref="A1:C8" headerRowCount="1">
  <x:tableColumns count="3">
    <x:tableColumn id="1" name="Chave"/>
    <x:tableColumn id="2" name="Valor"/>
    <x:tableColumn id="3" name="Descrição"/>
  </x:tableColumns>
  <x:tableStyleInfo name="TableStyleMedium2" showRowStripes="1"/>
</x:table>
</file>

<file path=xl/tables/table7.xml><?xml version="1.0" encoding="utf-8"?>
<x:table xmlns:x="http://schemas.openxmlformats.org/spreadsheetml/2006/main" id="7" name="TabelaMapeamentoBase" displayName="TabelaMapeamentoBase" ref="A1:D15" headerRowCount="1">
  <x:tableColumns count="4">
    <x:tableColumn id="1" name="Campo do Programa"/>
    <x:tableColumn id="2" name="Aba/Coluna sugerida na base"/>
    <x:tableColumn id="3" name="Coluna Modelo isso.xlsx"/>
    <x:tableColumn id="4" name="Observação"/>
  </x:tableColumns>
  <x:tableStyleInfo name="TableStyleMedium2" showRowStripes="1"/>
</x:table>
</file>

<file path=xl/tables/table8.xml><?xml version="1.0" encoding="utf-8"?>
<x:table xmlns:x="http://schemas.openxmlformats.org/spreadsheetml/2006/main" id="8" name="TabelaDicionario" displayName="TabelaDicionario" ref="A1:C6" headerRowCount="1">
  <x:tableColumns count="3">
    <x:tableColumn id="1" name="Campo"/>
    <x:tableColumn id="2" name="Valores permitidos / padrão"/>
    <x:tableColumn id="3" name="Uso"/>
  </x:tableColumns>
  <x:tableStyleInfo name="TableStyleMedium2" showRowStripes="1"/>
</x:table>
</file>

<file path=xl/tables/table9.xml><?xml version="1.0" encoding="utf-8"?>
<x:table xmlns:x="http://schemas.openxmlformats.org/spreadsheetml/2006/main" id="9" name="TabelaValidacaoExemplo" displayName="TabelaValidacaoExemplo" ref="A1:K3" headerRowCount="1">
  <x:tableColumns count="11">
    <x:tableColumn id="1" name="CT-e Parceiro"/>
    <x:tableColumn id="2" name="Parceiro ID"/>
    <x:tableColumn id="3" name="NF"/>
    <x:tableColumn id="4" name="Destino"/>
    <x:tableColumn id="5" name="Valor Base Rodovitor"/>
    <x:tableColumn id="6" name="Percentual"/>
    <x:tableColumn id="7" name="Frete Mínimo"/>
    <x:tableColumn id="8" name="Valor XML Parceiro"/>
    <x:tableColumn id="9" name="Valor Esperado"/>
    <x:tableColumn id="10" name="Diferença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31ca835de043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dbc17668d64a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d50597f79345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b74b95a629c42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6a21b5373d24a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9d7cd1bcbb346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2bed3d6772c44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f70f6ff8e1c43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5c07e82c23e40a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30" customHeight="1">
      <x:c r="A1" s="6" t="str">
        <x:v>Seção</x:v>
      </x:c>
      <x:c r="B1" s="6" t="str">
        <x:v>Descrição</x:v>
      </x:c>
    </x:row>
    <x:row r="2">
      <x:c r="A2" s="14" t="str">
        <x:v>Objetivo</x:v>
      </x:c>
      <x:c r="B2" s="14" t="str">
        <x:v>Cadastro operacional padronizado das tabelas de parceiros para o programa Central CT-e / DACTE validar valores.</x:v>
      </x:c>
    </x:row>
    <x:row r="3">
      <x:c r="A3" s="14" t="str">
        <x:v>Como usar</x:v>
      </x:c>
      <x:c r="B3" s="14" t="str">
        <x:v>Preencha/ajuste PARCEIROS, REGRAS_PERCENTUAL e REGRAS_EXTRAS. O programa deve ler essas abas e comparar XML do parceiro com a base Rodovitor.</x:v>
      </x:c>
    </x:row>
    <x:row r="4">
      <x:c r="A4" s="14" t="str">
        <x:v>NF repetida</x:v>
      </x:c>
      <x:c r="B4" s="14" t="str">
        <x:v>Quando uma NF aparecer em mais de um CT-e, priorizar o CT-e ORIGINAL/NORMAL. Complementares devem ser tratados como custo extra ou status POSSIVEL_COMPLEMENTAR.</x:v>
      </x:c>
    </x:row>
    <x:row r="5">
      <x:c r="A5" s="14" t="str">
        <x:v>Frete mínimo</x:v>
      </x:c>
      <x:c r="B5" s="14" t="str">
        <x:v>O cálculo padrão é MAX(Valor Base × Percentual, Frete Mínimo).</x:v>
      </x:c>
    </x:row>
    <x:row r="6">
      <x:c r="A6" s="14" t="str">
        <x:v>PDFs escaneados</x:v>
      </x:c>
      <x:c r="B6" s="14" t="str">
        <x:v>As regras foram transcritas a partir de PDFs/imagens. Linhas com PENDENTE_TRANSCRICAO ou REVISAR_OK devem ser conferidas antes de validação automática.</x:v>
      </x:c>
    </x:row>
    <x:row r="7">
      <x:c r="A7" s="14" t="str">
        <x:v>Fontes</x:v>
      </x:c>
      <x:c r="B7" s="14" t="str">
        <x:v>Use a coluna Fonte PDF/Página para rastrear cada regra ao documento original.</x:v>
      </x:c>
    </x:row>
  </x:sheetData>
  <x:pageMargins left="0.7" right="0.7" top="0.75" bottom="0.75" header="0.3" footer="0.3"/>
  <x:tableParts count="1">
    <x:tablePart xmlns:r="http://schemas.openxmlformats.org/officeDocument/2006/relationships" r:id="R1031ca835de043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32" hidden="0" customWidth="1"/>
    <x:col min="5" max="5" width="18" hidden="0" customWidth="1"/>
    <x:col min="6" max="6" width="10" hidden="0" customWidth="1"/>
    <x:col min="7" max="7" width="32" hidden="0" customWidth="1"/>
    <x:col min="8" max="8" width="18" hidden="0" customWidth="1"/>
    <x:col min="9" max="9" width="32" hidden="0" customWidth="1"/>
    <x:col min="10" max="10" width="10" hidden="0" customWidth="1"/>
    <x:col min="11" max="11" width="50" hidden="0" customWidth="1"/>
    <x:col min="12" max="12" width="22" hidden="0" customWidth="1"/>
  </x:cols>
  <x:sheetData>
    <x:row r="1" ht="30" customHeight="1">
      <x:c r="A1" s="6" t="str">
        <x:v>Parceiro ID</x:v>
      </x:c>
      <x:c r="B1" s="6" t="str">
        <x:v>Nome Parceiro</x:v>
      </x:c>
      <x:c r="C1" s="6" t="str">
        <x:v>CNPJ</x:v>
      </x:c>
      <x:c r="D1" s="6" t="str">
        <x:v>Nome no XML / Alias principal</x:v>
      </x:c>
      <x:c r="E1" s="6" t="str">
        <x:v>Origem base</x:v>
      </x:c>
      <x:c r="F1" s="6" t="str">
        <x:v>UF base</x:v>
      </x:c>
      <x:c r="G1" s="6" t="str">
        <x:v>Tipo tabela principal</x:v>
      </x:c>
      <x:c r="H1" s="6" t="str">
        <x:v>Status</x:v>
      </x:c>
      <x:c r="I1" s="6" t="str">
        <x:v>Fonte PDF</x:v>
      </x:c>
      <x:c r="J1" s="6" t="str">
        <x:v>Páginas</x:v>
      </x:c>
      <x:c r="K1" s="6" t="str">
        <x:v>Observação</x:v>
      </x:c>
      <x:c r="L1" s="50" t="str">
        <x:v>CNPJ2</x:v>
      </x:c>
    </x:row>
    <x:row r="2">
      <x:c r="A2" s="14" t="str">
        <x:v>MB_AMAZONIA</x:v>
      </x:c>
      <x:c r="B2" s="14" t="str">
        <x:v>MB Logística / Amazônia+</x:v>
      </x:c>
      <x:c r="C2" s="14" t="str">
        <x:v>45.552.648/0001-09</x:v>
      </x:c>
      <x:c r="D2" s="14" t="str">
        <x:v>MB LOGISTICA / AMAZONIA+</x:v>
      </x:c>
      <x:c r="E2" s="14" t="str">
        <x:v>Belém</x:v>
      </x:c>
      <x:c r="F2" s="14" t="str">
        <x:v>PA</x:v>
      </x:c>
      <x:c r="G2" s="14" t="str">
        <x:v>Percentual por trecho + escalonado + extras</x:v>
      </x:c>
      <x:c r="H2" s="14" t="str">
        <x:v>ATIVO_REVISAR</x:v>
      </x:c>
      <x:c r="I2" s="14" t="str">
        <x:v>doc20621120260704143158.pdf</x:v>
      </x:c>
      <x:c r="J2" s="14" t="str">
        <x:v>1-2</x:v>
      </x:c>
      <x:c r="K2" s="14" t="str">
        <x:v>Tabela 01/02/03 visíveis; conferir assinatura e vigência.</x:v>
      </x:c>
      <x:c r="L2"/>
    </x:row>
    <x:row r="3">
      <x:c r="A3" s="14" t="str">
        <x:v>JSP</x:v>
      </x:c>
      <x:c r="B3" s="14" t="str">
        <x:v>JSP Transporte e Logística LTDA - ME</x:v>
      </x:c>
      <x:c r="C3" s="14" t="str">
        <x:v>14.498.358/0001-09</x:v>
      </x:c>
      <x:c r="D3" s="14" t="str">
        <x:v>JSP TRANSPORTE E LOGISTICA LTDA</x:v>
      </x:c>
      <x:c r="E3" s="14" t="str">
        <x:v>Marabá</x:v>
      </x:c>
      <x:c r="F3" s="14" t="str">
        <x:v>PA</x:v>
      </x:c>
      <x:c r="G3" s="14" t="str">
        <x:v>Percentual por cidade destino</x:v>
      </x:c>
      <x:c r="H3" s="14" t="str">
        <x:v>ATIVO_REVISAR</x:v>
      </x:c>
      <x:c r="I3" s="14" t="str">
        <x:v>doc20621320260704143240.pdf</x:v>
      </x:c>
      <x:c r="J3" s="14" t="str">
        <x:v>1-2</x:v>
      </x:c>
      <x:c r="K3" s="14" t="str">
        <x:v>Tabela extensa transcrita parcialmente com base nas páginas visíveis.</x:v>
      </x:c>
      <x:c r="L3"/>
    </x:row>
    <x:row r="4">
      <x:c r="A4" s="14" t="str">
        <x:v>AMM</x:v>
      </x:c>
      <x:c r="B4" s="14" t="str">
        <x:v>AM&amp;M Transportes</x:v>
      </x:c>
      <x:c r="C4" s="14"/>
      <x:c r="D4" s="14" t="str">
        <x:v>AMM TRANSPORTES</x:v>
      </x:c>
      <x:c r="E4" s="14" t="str">
        <x:v>Marabá</x:v>
      </x:c>
      <x:c r="F4" s="14" t="str">
        <x:v>PA</x:v>
      </x:c>
      <x:c r="G4" s="14" t="str">
        <x:v>Percentual por lista de cidades</x:v>
      </x:c>
      <x:c r="H4" s="14" t="str">
        <x:v>ATIVO_REVISAR</x:v>
      </x:c>
      <x:c r="I4" s="14" t="str">
        <x:v>doc20621420260704143258.pdf</x:v>
      </x:c>
      <x:c r="J4" s="14" t="str">
        <x:v>1</x:v>
      </x:c>
      <x:c r="K4" s="14" t="str">
        <x:v>Tabela simples: 35% com mínima R$70,00 para cidades listadas.</x:v>
      </x:c>
      <x:c r="L4"/>
    </x:row>
    <x:row r="5">
      <x:c r="A5" s="14" t="str">
        <x:v>W_S_TRANSPORTES</x:v>
      </x:c>
      <x:c r="B5" s="14" t="str">
        <x:v>W S TRANSPORTES DE CARGAS E LOGISTICA LTDA</x:v>
      </x:c>
      <x:c r="C5" s="14" t="str">
        <x:v>15.186.966/0001-32</x:v>
      </x:c>
      <x:c r="D5" s="14" t="str">
        <x:v>W S TRANSPORTES DE CARGAS E LOGISTICA LTDA</x:v>
      </x:c>
      <x:c r="E5" s="14" t="str">
        <x:v>Guarulhos</x:v>
      </x:c>
      <x:c r="F5" s="14" t="str">
        <x:v>SP</x:v>
      </x:c>
      <x:c r="G5" s="14" t="str">
        <x:v>Percentual por cidade/UF + tonelagem/modal</x:v>
      </x:c>
      <x:c r="H5" s="14" t="str">
        <x:v>ATIVO</x:v>
      </x:c>
      <x:c r="I5" s="14" t="str">
        <x:v>rodotec.pdf</x:v>
      </x:c>
      <x:c r="J5" s="14" t="str">
        <x:v>1-2</x:v>
      </x:c>
      <x:c r="K5" s="14" t="str">
        <x:v>Finalizado: cidades, percentuais, frete mínimo, tonelagem mínima e modal transcritos/revisados do PDF Rodotec. O programa usa percentual/frete mínimo; tonelagem/modal ficam como referência operacional.</x:v>
      </x:c>
      <x:c r="L5" t="str">
        <x:v>15.186.966/0006-47</x:v>
      </x:c>
    </x:row>
    <x:row r="6">
      <x:c r="A6" s="14" t="str">
        <x:v>LN</x:v>
      </x:c>
      <x:c r="B6" s="14" t="str">
        <x:v>L&amp;N Logística LTDA</x:v>
      </x:c>
      <x:c r="C6" s="14" t="str">
        <x:v>38.367.200/0001-50</x:v>
      </x:c>
      <x:c r="D6" s="14" t="str">
        <x:v>L&amp;N LOGISTICA LTDA</x:v>
      </x:c>
      <x:c r="E6" s="14" t="str">
        <x:v>Marabá</x:v>
      </x:c>
      <x:c r="F6" s="14" t="str">
        <x:v>PA</x:v>
      </x:c>
      <x:c r="G6" s="14" t="str">
        <x:v>Percentual por base/região/cidade</x:v>
      </x:c>
      <x:c r="H6" s="14" t="str">
        <x:v>ATIVO_REVISAR</x:v>
      </x:c>
      <x:c r="I6" s="14" t="str">
        <x:v>doc20620720260704143045.pdf</x:v>
      </x:c>
      <x:c r="J6" s="14" t="str">
        <x:v>1-2</x:v>
      </x:c>
      <x:c r="K6" s="14" t="str">
        <x:v>Tabela por base MAB/RED/XIG/ALT/STM e particularidades.</x:v>
      </x:c>
      <x:c r="L6"/>
    </x:row>
    <x:row r="7">
      <x:c r="A7" s="14" t="str">
        <x:v>GN_NORTE</x:v>
      </x:c>
      <x:c r="B7" s="14" t="str">
        <x:v>GN TRANSPORTES LTDA / Norte Logística</x:v>
      </x:c>
      <x:c r="C7" s="14" t="str">
        <x:v>27.900.805/0002-29</x:v>
      </x:c>
      <x:c r="D7" s="14" t="str">
        <x:v>GN TRANSPORTES LTDA; NORTE LOGISTICA / GN TRANSPORTES</x:v>
      </x:c>
      <x:c r="E7" s="14" t="str">
        <x:v>Santarém</x:v>
      </x:c>
      <x:c r="F7" s="14" t="str">
        <x:v>PA</x:v>
      </x:c>
      <x:c r="G7" s="14" t="str">
        <x:v>Percentual por praça/região</x:v>
      </x:c>
      <x:c r="H7" s="14" t="str">
        <x:v>ATIVO_REVISAR</x:v>
      </x:c>
      <x:c r="I7" s="14" t="str">
        <x:v>doc20620820260704143103.pdf</x:v>
      </x:c>
      <x:c r="J7" s="14" t="str">
        <x:v>1-2</x:v>
      </x:c>
      <x:c r="K7" s="14" t="str">
        <x:v>CNPJ 27.900.805/0002-29 atualizado pelo relatório de parceiros de junho/2026. M E M, LEOFRAN e C VARGAS desconsiderados por orientação do usuário.</x:v>
      </x:c>
      <x:c r="L7"/>
    </x:row>
    <x:row r="8">
      <x:c r="A8" s="14" t="str">
        <x:v>EM</x:v>
      </x:c>
      <x:c r="B8" s="14" t="str">
        <x:v>E&amp;M Transportes</x:v>
      </x:c>
      <x:c r="C8" s="14"/>
      <x:c r="D8" s="14" t="str">
        <x:v>E &amp; M TRANSPORTES</x:v>
      </x:c>
      <x:c r="E8" s="14" t="str">
        <x:v>Paragominas</x:v>
      </x:c>
      <x:c r="F8" s="14" t="str">
        <x:v>PA</x:v>
      </x:c>
      <x:c r="G8" s="14" t="str">
        <x:v>Percentual por destino</x:v>
      </x:c>
      <x:c r="H8" s="14" t="str">
        <x:v>ATIVO_REVISAR</x:v>
      </x:c>
      <x:c r="I8" s="14" t="str">
        <x:v>doc20620920260704143119.pdf</x:v>
      </x:c>
      <x:c r="J8" s="14" t="str">
        <x:v>1-2</x:v>
      </x:c>
      <x:c r="K8" s="14" t="str">
        <x:v>Tabela por origem/destino e custos extras.</x:v>
      </x:c>
      <x:c r="L8"/>
    </x:row>
    <x:row r="9">
      <x:c r="A9" s="14" t="str">
        <x:v>FENIX</x:v>
      </x:c>
      <x:c r="B9" s="14" t="str">
        <x:v>Fênix Transportes</x:v>
      </x:c>
      <x:c r="C9" s="14" t="str">
        <x:v>39.424.302/0001-22</x:v>
      </x:c>
      <x:c r="D9" s="14" t="str">
        <x:v>FENIX TRANSPORTES</x:v>
      </x:c>
      <x:c r="E9" s="14" t="str">
        <x:v>Ananindeua / Belém</x:v>
      </x:c>
      <x:c r="F9" s="14" t="str">
        <x:v>PA</x:v>
      </x:c>
      <x:c r="G9" s="14" t="str">
        <x:v>Percentual por cidade</x:v>
      </x:c>
      <x:c r="H9" s="14" t="str">
        <x:v>ATIVO_REVISAR</x:v>
      </x:c>
      <x:c r="I9" s="14" t="str">
        <x:v>doc20621020260704143141.pdf</x:v>
      </x:c>
      <x:c r="J9" s="14" t="str">
        <x:v>1-3</x:v>
      </x:c>
      <x:c r="K9" s="14" t="str">
        <x:v>Origem Belém/Ananindeua; inclui origem sudeste/destino norte e extras.</x:v>
      </x:c>
      <x:c r="L9"/>
    </x:row>
    <x:row r="10">
      <x:c r="A10" s="14" t="str">
        <x:v>MILAYDE_LOBATO</x:v>
      </x:c>
      <x:c r="B10" s="14" t="str">
        <x:v>MILAYDE PATRICIA V. LOBATO LTDA</x:v>
      </x:c>
      <x:c r="C10" s="14" t="str">
        <x:v>47.736.151/0001-76</x:v>
      </x:c>
      <x:c r="D10" s="14" t="str">
        <x:v>MILAYDE PATRICIA V. LOBATO LTDA</x:v>
      </x:c>
      <x:c r="E10" s="14" t="str">
        <x:v>Santarém</x:v>
      </x:c>
      <x:c r="F10" s="14" t="str">
        <x:v>PA</x:v>
      </x:c>
      <x:c r="G10" s="14" t="str">
        <x:v>Percentual por cidade + gatilho KG</x:v>
      </x:c>
      <x:c r="H10" s="14" t="str">
        <x:v>ATIVO_REVISAR</x:v>
      </x:c>
      <x:c r="I10" s="14" t="str">
        <x:v>TABELA MILAYDE PATRICIA.pdf</x:v>
      </x:c>
      <x:c r="J10" s="14" t="str">
        <x:v>1-3</x:v>
      </x:c>
      <x:c r="K10" s="14" t="str">
        <x:v>Regras cadastradas a partir do PDF Fênix/Mauro F Lobato. Usuário confirmou que é o mesmo parceiro operacional e que o CNPJ correto para o sistema é o do XML/relatório: 47.736.151/0001-76.</x:v>
      </x:c>
      <x:c r="L10"/>
    </x:row>
    <x:row r="11">
      <x:c r="A11" s="76" t="str">
        <x:v>MRV_TRANSPORTES</x:v>
      </x:c>
      <x:c r="B11" s="76" t="str">
        <x:v>MRV TRANSPORTES EIRELI - EPP</x:v>
      </x:c>
      <x:c r="C11" s="76" t="str">
        <x:v>29.915.178/0001-44</x:v>
      </x:c>
      <x:c r="D11" s="76" t="str">
        <x:v>MRV TRANSPORTES EIRELI - EPP</x:v>
      </x:c>
      <x:c r="E11" s="76" t="str">
        <x:v>Tocantins</x:v>
      </x:c>
      <x:c r="F11" s="76" t="str">
        <x:v>TO</x:v>
      </x:c>
      <x:c r="G11" s="76" t="str">
        <x:v>Percentual por cidade TO sobre frete de origem</x:v>
      </x:c>
      <x:c r="H11" s="76" t="str">
        <x:v>ATIVO_REVISAR</x:v>
      </x:c>
      <x:c r="I11" s="76" t="str">
        <x:v>Tabela MRV Logistica.pdf</x:v>
      </x:c>
      <x:c r="J11" s="76" t="str">
        <x:v>1 e 3</x:v>
      </x:c>
      <x:c r="K11" s="76" t="str">
        <x:v>Tabela MRV/Exclusiva: CNPJ do PDF 29.915.178/0001-44 bate com o XML/relatório. Regra cadastrada: Palmas 25% mín. R$40; demais cidades TO 30% mín. R$60; base de cálculo ORIGEM. Regra especial acima de 10.000 kg: Palmas 20%, demais TO 25%.</x:v>
      </x:c>
      <x:c r="L11" s="76"/>
    </x:row>
    <x:row r="12">
      <x:c r="A12" s="76" t="str">
        <x:v>MB_SERVICOS_LOG</x:v>
      </x:c>
      <x:c r="B12" s="76" t="str">
        <x:v>M. B. SERVICOS DE TRANSPORTES E LOG. EIRELI</x:v>
      </x:c>
      <x:c r="C12" s="76" t="str">
        <x:v>27.460.061/0003-50</x:v>
      </x:c>
      <x:c r="D12" s="76" t="str">
        <x:v>M. B. SERVICOS DE TRANSPORTES E LOG. EIRELI</x:v>
      </x:c>
      <x:c r="E12" s="76" t="str">
        <x:v>Macapá</x:v>
      </x:c>
      <x:c r="F12" s="76" t="str">
        <x:v>AP</x:v>
      </x:c>
      <x:c r="G12" s="76" t="str">
        <x:v>Percentual por trecho AP</x:v>
      </x:c>
      <x:c r="H12" s="76" t="str">
        <x:v>ATIVO_REVISAR</x:v>
      </x:c>
      <x:c r="I12" s="76" t="str">
        <x:v>Tabela MB LOGISTICA.pdf</x:v>
      </x:c>
      <x:c r="J12" s="76" t="str">
        <x:v>1-2</x:v>
      </x:c>
      <x:c r="K12" s="76" t="str">
        <x:v>Regras cadastradas para Macapá/Santana e interiores AP. Usuário confirmou que é o mesmo parceiro operacional e que o CNPJ correto para o sistema é o do XML/relatório: 27.460.061/0003-50.</x:v>
      </x:c>
      <x:c r="L12" s="76"/>
    </x:row>
    <x:row r="13">
      <x:c r="A13" s="76" t="str">
        <x:v>EUNUQUES_LOPES</x:v>
      </x:c>
      <x:c r="B13" s="76" t="str">
        <x:v>EUNUQUES LOPES DA SILVA - ME</x:v>
      </x:c>
      <x:c r="C13" s="76" t="str">
        <x:v>17.433.167/0001-49</x:v>
      </x:c>
      <x:c r="D13" s="76" t="str">
        <x:v>EUNUQUES LOPES DA SILVA - ME</x:v>
      </x:c>
      <x:c r="E13" s="76" t="str">
        <x:v>Mãe do Rio</x:v>
      </x:c>
      <x:c r="F13" s="76" t="str">
        <x:v>PA</x:v>
      </x:c>
      <x:c r="G13" s="76" t="str">
        <x:v>Percentual por destino PA</x:v>
      </x:c>
      <x:c r="H13" s="76" t="str">
        <x:v>ATIVO_REVISAR</x:v>
      </x:c>
      <x:c r="I13" s="76" t="str">
        <x:v>TABELA EUNUQUES LOPES.pdf</x:v>
      </x:c>
      <x:c r="J13" s="76" t="str">
        <x:v>1-2</x:v>
      </x:c>
      <x:c r="K13" s="76" t="str">
        <x:v>Regras cadastradas a partir do PDF E&amp;M Transportes. Usuário confirmou vínculo operacional; manter como CNPJ correto do sistema o CNPJ do XML/relatório: 17.433.167/0001-49.</x:v>
      </x:c>
      <x:c r="L13" s="76"/>
    </x:row>
    <x:row r="14">
      <x:c r="A14" s="76" t="str">
        <x:v>MF_LOBATO</x:v>
      </x:c>
      <x:c r="B14" s="76" t="str">
        <x:v>M. F. LOBATO LTDA</x:v>
      </x:c>
      <x:c r="C14" s="76" t="str">
        <x:v>18.810.140/0001-90</x:v>
      </x:c>
      <x:c r="D14" s="76" t="str">
        <x:v>M. F. LOBATO LTDA</x:v>
      </x:c>
      <x:c r="E14" s="76" t="str">
        <x:v>Baixo Amazonas</x:v>
      </x:c>
      <x:c r="F14" s="76" t="str">
        <x:v>PA</x:v>
      </x:c>
      <x:c r="G14" s="76" t="str">
        <x:v>Percentual por cidade PA</x:v>
      </x:c>
      <x:c r="H14" s="76" t="str">
        <x:v>ATIVO_REVISAR</x:v>
      </x:c>
      <x:c r="I14" s="76" t="str">
        <x:v>TABELA MARAJO CARGAS (MF LOBATO).pdf</x:v>
      </x:c>
      <x:c r="J14" s="76" t="str">
        <x:v>1-2</x:v>
      </x:c>
      <x:c r="K14" s="76" t="str">
        <x:v>Regra de Limoeiro do Ajuru cadastrada. CNPJ do PDF bate com M. F. Lobato.</x:v>
      </x:c>
      <x:c r="L14" s="76"/>
    </x:row>
    <x:row r="15">
      <x:c r="A15" s="76" t="str">
        <x:v>OPAL</x:v>
      </x:c>
      <x:c r="B15" s="76" t="str">
        <x:v>OPAL - ORGANIZAÇÃO PARAENSE EIRELI ME</x:v>
      </x:c>
      <x:c r="C15" s="76" t="str">
        <x:v>05.057.690/0001-39</x:v>
      </x:c>
      <x:c r="D15" s="76" t="str">
        <x:v>OPAL ORGANIZACAO PARAENSE LTDA</x:v>
      </x:c>
      <x:c r="E15" s="76" t="str">
        <x:v>Ananindeua</x:v>
      </x:c>
      <x:c r="F15" s="76" t="str">
        <x:v>PA</x:v>
      </x:c>
      <x:c r="G15" s="76" t="str">
        <x:v>Distribuição AP por comissão + adicionais</x:v>
      </x:c>
      <x:c r="H15" s="76" t="str">
        <x:v>ATIVO</x:v>
      </x:c>
      <x:c r="I15" s="76" t="str">
        <x:v>TABELA_DISTRIB_AP_RODOVITOR_2026_A4.xlsx</x:v>
      </x:c>
      <x:c r="J15" s="76" t="str">
        <x:v>1</x:v>
      </x:c>
      <x:c r="K15" s="76" t="str">
        <x:v>Tabela vigente em 10/06/2026; transcrita da planilha comercial enviada para a Rodovitor.</x:v>
      </x:c>
      <x:c r="L15" s="76"/>
    </x:row>
    <x:row r="16">
      <x:c r="A16" t="str">
        <x:v>AC_LOG_C_VARGAS</x:v>
      </x:c>
      <x:c r="B16" t="str">
        <x:v>AC LOG / C VARGAS</x:v>
      </x:c>
      <x:c r="C16" t="str">
        <x:v>34059736000157</x:v>
      </x:c>
      <x:c r="D16" t="str">
        <x:v>AC LOG / C VARGAS</x:v>
      </x:c>
      <x:c r="E16"/>
      <x:c r="F16" t="str">
        <x:v>AP</x:v>
      </x:c>
      <x:c r="G16" t="str">
        <x:v>Distribuição AP por percentual, mínimo e frete-peso por kg</x:v>
      </x:c>
      <x:c r="H16" t="str">
        <x:v>ATIVO</x:v>
      </x:c>
      <x:c r="I16" t="str">
        <x:v>TABELA_AC_LOG_C_VARGAS_DISTRIBUICAO_AP_2025.pdf</x:v>
      </x:c>
      <x:c r="J16" t="str">
        <x:v>1</x:v>
      </x:c>
      <x:c r="K16" t="str">
        <x:v>Tabela combinada de distribuição AP de 08/10/2025. CNPJ da C Vargas confirmado pelo usuário: 34.059.736/0001-57. A coluna de valor por tonelada representa FRETE PESO calculado pelo peso em kg.</x:v>
      </x:c>
      <x:c r="L16"/>
    </x:row>
    <x:row r="17">
      <x:c r="A17" t="str">
        <x:v>M_M_TRANSPORTES</x:v>
      </x:c>
      <x:c r="B17" t="str">
        <x:v>M E M TRANSPORTES LTDA</x:v>
      </x:c>
      <x:c r="C17" t="str">
        <x:v>59339996000107</x:v>
      </x:c>
      <x:c r="D17" t="str">
        <x:v>M E M TRANSPORTES LTDA</x:v>
      </x:c>
      <x:c r="E17" t="str">
        <x:v>Marabá</x:v>
      </x:c>
      <x:c r="F17" t="str">
        <x:v>PA</x:v>
      </x:c>
      <x:c r="G17" t="str">
        <x:v>Distribuição PA — 35% do frete original com mínimo de R$ 70,00</x:v>
      </x:c>
      <x:c r="H17" t="str">
        <x:v>ATIVO</x:v>
      </x:c>
      <x:c r="I17" t="str">
        <x:v>TABELA_M_E_M_TRANSPORTES_ROTA1_2026.pdf</x:v>
      </x:c>
      <x:c r="J17" t="str">
        <x:v>1</x:v>
      </x:c>
      <x:c r="K17" t="str">
        <x:v>Proposta comercial da M&amp;M Transportes para a Rodovitor. O XML confirma a razão social M E M TRANSPORTES LTDA e o CNPJ 59.339.996/0001-07. Origem operacional Marabá/PA; a origem foi deixada em branco nas regras para compatibilidade com CT-es de subcontratação.</x:v>
      </x:c>
      <x:c r="L17"/>
    </x:row>
  </x:sheetData>
  <x:pageMargins left="0.7" right="0.7" top="0.75" bottom="0.75" header="0.3" footer="0.3"/>
  <x:tableParts count="1">
    <x:tablePart xmlns:r="http://schemas.openxmlformats.org/officeDocument/2006/relationships" r:id="R6ddbc17668d64a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13" hidden="0" customWidth="1"/>
    <x:col min="5" max="5" width="18" hidden="0" customWidth="1"/>
    <x:col min="6" max="6" width="10" hidden="0" customWidth="1"/>
    <x:col min="7" max="7" width="26" hidden="0" customWidth="1"/>
    <x:col min="8" max="8" width="10" hidden="0" customWidth="1"/>
    <x:col min="9" max="9" width="24" hidden="0" customWidth="1"/>
    <x:col min="10" max="10" width="26" hidden="0" customWidth="1"/>
    <x:col min="11" max="11" width="12" hidden="0" customWidth="1"/>
    <x:col min="12" max="12" width="13" hidden="0" customWidth="1"/>
    <x:col min="13" max="13" width="13" hidden="0" customWidth="1"/>
    <x:col min="14" max="14" width="12" hidden="0" customWidth="1"/>
    <x:col min="15" max="15" width="16" hidden="0" customWidth="1"/>
    <x:col min="16" max="16" width="12" hidden="0" customWidth="1"/>
    <x:col min="17" max="17" width="18" hidden="0" customWidth="1"/>
    <x:col min="18" max="18" width="18" hidden="0" customWidth="1"/>
    <x:col min="19" max="19" width="16" hidden="0" customWidth="1"/>
    <x:col min="20" max="20" width="18" hidden="0" customWidth="1"/>
    <x:col min="21" max="21" width="30" hidden="0" customWidth="1"/>
    <x:col min="22" max="22" width="8" hidden="0" customWidth="1"/>
    <x:col min="23" max="23" width="42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20" hidden="0" customWidth="1"/>
    <x:col min="32" max="32" width="14" hidden="0" customWidth="1"/>
    <x:col min="33" max="33" width="18" hidden="0" customWidth="1"/>
    <x:col min="34" max="34" width="42" hidden="0" customWidth="1"/>
  </x:cols>
  <x:sheetData>
    <x:row r="1" ht="30" customHeight="1">
      <x:c r="A1" s="6" t="str">
        <x:v>Regra ID</x:v>
      </x:c>
      <x:c r="B1" s="6" t="str">
        <x:v>Parceiro ID</x:v>
      </x:c>
      <x:c r="C1" s="6" t="str">
        <x:v>Vigência Início</x:v>
      </x:c>
      <x:c r="D1" s="6" t="str">
        <x:v>Vigência Fim</x:v>
      </x:c>
      <x:c r="E1" s="6" t="str">
        <x:v>Origem Cidade</x:v>
      </x:c>
      <x:c r="F1" s="6" t="str">
        <x:v>Origem UF</x:v>
      </x:c>
      <x:c r="G1" s="6" t="str">
        <x:v>Destino Cidade</x:v>
      </x:c>
      <x:c r="H1" s="6" t="str">
        <x:v>Destino UF</x:v>
      </x:c>
      <x:c r="I1" s="6" t="str">
        <x:v>Região / Base</x:v>
      </x:c>
      <x:c r="J1" s="6" t="str">
        <x:v>Tipo Trecho</x:v>
      </x:c>
      <x:c r="K1" s="6" t="str">
        <x:v>Percentual</x:v>
      </x:c>
      <x:c r="L1" s="6" t="str">
        <x:v>Frete Mínimo</x:v>
      </x:c>
      <x:c r="M1" s="6" t="str">
        <x:v>Pedágio</x:v>
      </x:c>
      <x:c r="N1" s="6" t="str">
        <x:v>Taxa CT-e</x:v>
      </x:c>
      <x:c r="O1" s="6" t="str">
        <x:v>Repasse</x:v>
      </x:c>
      <x:c r="P1" s="6" t="str">
        <x:v>Prazo</x:v>
      </x:c>
      <x:c r="Q1" s="6" t="str">
        <x:v>Coleta/Entrega</x:v>
      </x:c>
      <x:c r="R1" s="6" t="str">
        <x:v>Base Cálculo</x:v>
      </x:c>
      <x:c r="S1" s="6" t="str">
        <x:v>Inclui Complementar?</x:v>
      </x:c>
      <x:c r="T1" s="6" t="str">
        <x:v>Status Revisão</x:v>
      </x:c>
      <x:c r="U1" s="6" t="str">
        <x:v>Fonte PDF</x:v>
      </x:c>
      <x:c r="V1" s="6" t="str">
        <x:v>Página</x:v>
      </x:c>
      <x:c r="W1" s="6" t="str">
        <x:v>Observação</x:v>
      </x:c>
      <x:c r="X1" s="94" t="str">
        <x:v>GRIS Ativo</x:v>
      </x:c>
      <x:c r="Y1" s="94" t="str">
        <x:v>Percentual GRIS</x:v>
      </x:c>
      <x:c r="Z1" s="94" t="str">
        <x:v>Pedágio Ativo</x:v>
      </x:c>
      <x:c r="AA1" s="94" t="str">
        <x:v>Valor Pedágio</x:v>
      </x:c>
      <x:c r="AB1" s="94" t="str">
        <x:v>Fração Pedágio KG</x:v>
      </x:c>
      <x:c r="AC1" s="94" t="str">
        <x:v>Controle DACTE</x:v>
      </x:c>
      <x:c r="AD1" s="94" t="str">
        <x:v>Nome Controle</x:v>
      </x:c>
      <x:c r="AE1" s="103" t="str">
        <x:v>Tipo Cálculo Compacto</x:v>
      </x:c>
      <x:c r="AF1" s="103" t="str">
        <x:v>Tipo Pedágio</x:v>
      </x:c>
      <x:c r="AG1" s="103" t="str">
        <x:v>Fonte Controle Compacto</x:v>
      </x:c>
      <x:c r="AH1" s="103" t="str">
        <x:v>Observação Controle</x:v>
      </x:c>
      <x:c r="AI1" t="str">
        <x:v>Tonelagem Mínima (R$/Ton)</x:v>
      </x:c>
    </x:row>
    <x:row r="2">
      <x:c r="A2" s="14" t="str">
        <x:v>MB_AMAZONIA_0001</x:v>
      </x:c>
      <x:c r="B2" s="14" t="str">
        <x:v>MB_AMAZONIA</x:v>
      </x:c>
      <x:c r="C2" s="14"/>
      <x:c r="D2" s="14"/>
      <x:c r="E2" s="14" t="str">
        <x:v>Belém</x:v>
      </x:c>
      <x:c r="F2" s="14" t="str">
        <x:v>PA</x:v>
      </x:c>
      <x:c r="G2" s="14" t="str">
        <x:v>STN e MCP</x:v>
      </x:c>
      <x:c r="H2" s="14"/>
      <x:c r="I2" s="14" t="str">
        <x:v>Tabela 01</x:v>
      </x:c>
      <x:c r="J2" s="14" t="str">
        <x:v>Fracionados diversos, exceto químicos/explosivos</x:v>
      </x:c>
      <x:c r="K2" s="14" t="str">
        <x:v>23%</x:v>
      </x:c>
      <x:c r="L2" s="46" t="n">
        <x:v>70</x:v>
      </x:c>
      <x:c r="M2" s="46"/>
      <x:c r="N2" s="46"/>
      <x:c r="O2" s="14"/>
      <x:c r="P2" s="14"/>
      <x:c r="Q2" s="14"/>
      <x:c r="R2" s="14" t="str">
        <x:v>ORIGINAL</x:v>
      </x:c>
      <x:c r="S2" s="14" t="str">
        <x:v>NÃO</x:v>
      </x:c>
      <x:c r="T2" s="14" t="str">
        <x:v>REVISAR_OK</x:v>
      </x:c>
      <x:c r="U2" s="14" t="str">
        <x:v>doc20621120260704143158.pdf</x:v>
      </x:c>
      <x:c r="V2" s="14" t="str">
        <x:v>1</x:v>
      </x:c>
      <x:c r="W2" s="14" t="str">
        <x:v>Sobre CT-e cliente</x:v>
      </x:c>
      <x:c r="X2"/>
      <x:c r="Y2"/>
      <x:c r="Z2"/>
      <x:c r="AA2"/>
      <x:c r="AB2"/>
      <x:c r="AC2" t="str">
        <x:v>SIM</x:v>
      </x:c>
      <x:c r="AD2" t="str">
        <x:v>MB AMAZÔNIA</x:v>
      </x:c>
      <x:c r="AE2" s="12" t="str">
        <x:v>PERCENTUAL</x:v>
      </x:c>
      <x:c r="AF2" s="12"/>
      <x:c r="AG2" s="12" t="str">
        <x:v>2.6.44</x:v>
      </x:c>
      <x:c r="AH2" s="12" t="str">
        <x:v>Frete base × percentual; aplicar frete mínimo quando maior. Bloco percentual ativado; controle visual passivo.</x:v>
      </x:c>
      <x:c r="AI2"/>
    </x:row>
    <x:row r="3">
      <x:c r="A3" s="14" t="str">
        <x:v>MB_AMAZONIA_0002</x:v>
      </x:c>
      <x:c r="B3" s="14" t="str">
        <x:v>MB_AMAZONIA</x:v>
      </x:c>
      <x:c r="C3" s="14"/>
      <x:c r="D3" s="14"/>
      <x:c r="E3" s="14" t="str">
        <x:v>Belém</x:v>
      </x:c>
      <x:c r="F3" s="14" t="str">
        <x:v>PA</x:v>
      </x:c>
      <x:c r="G3" s="14" t="str">
        <x:v>Interiores-AP</x:v>
      </x:c>
      <x:c r="H3" s="14" t="str">
        <x:v>AP</x:v>
      </x:c>
      <x:c r="I3" s="14" t="str">
        <x:v>Tabela 01</x:v>
      </x:c>
      <x:c r="J3" s="14" t="str">
        <x:v>Fracionados diversos, exceto químicos/explosivos</x:v>
      </x:c>
      <x:c r="K3" s="14" t="str">
        <x:v>27%</x:v>
      </x:c>
      <x:c r="L3" s="46" t="n">
        <x:v>250</x:v>
      </x:c>
      <x:c r="M3" s="46"/>
      <x:c r="N3" s="46"/>
      <x:c r="O3" s="14"/>
      <x:c r="P3" s="14"/>
      <x:c r="Q3" s="14"/>
      <x:c r="R3" s="14" t="str">
        <x:v>ORIGINAL</x:v>
      </x:c>
      <x:c r="S3" s="14" t="str">
        <x:v>NÃO</x:v>
      </x:c>
      <x:c r="T3" s="14" t="str">
        <x:v>REVISAR_OK</x:v>
      </x:c>
      <x:c r="U3" s="14" t="str">
        <x:v>doc20621120260704143158.pdf</x:v>
      </x:c>
      <x:c r="V3" s="14" t="str">
        <x:v>1</x:v>
      </x:c>
      <x:c r="W3" s="14" t="str">
        <x:v>Sobre CT-e cliente</x:v>
      </x:c>
      <x:c r="X3"/>
      <x:c r="Y3"/>
      <x:c r="Z3"/>
      <x:c r="AA3"/>
      <x:c r="AB3"/>
      <x:c r="AC3" t="str">
        <x:v>SIM</x:v>
      </x:c>
      <x:c r="AD3" t="str">
        <x:v>MB AMAZÔNIA</x:v>
      </x:c>
      <x:c r="AE3" s="12" t="str">
        <x:v>PERCENTUAL</x:v>
      </x:c>
      <x:c r="AF3" s="12"/>
      <x:c r="AG3" s="12" t="str">
        <x:v>2.6.44</x:v>
      </x:c>
      <x:c r="AH3" s="12" t="str">
        <x:v>Frete base × percentual; aplicar frete mínimo quando maior. Bloco percentual ativado; controle visual passivo.</x:v>
      </x:c>
      <x:c r="AI3"/>
    </x:row>
    <x:row r="4">
      <x:c r="A4" s="14" t="str">
        <x:v>MB_AMAZONIA_0003</x:v>
      </x:c>
      <x:c r="B4" s="14" t="str">
        <x:v>MB_AMAZONIA</x:v>
      </x:c>
      <x:c r="C4" s="14"/>
      <x:c r="D4" s="14"/>
      <x:c r="E4" s="14" t="str">
        <x:v>Belém</x:v>
      </x:c>
      <x:c r="F4" s="14" t="str">
        <x:v>PA</x:v>
      </x:c>
      <x:c r="G4" s="14" t="str">
        <x:v>Cliente COLGATE / P&amp;G / BNB SIMÕES / OUTROS</x:v>
      </x:c>
      <x:c r="H4" s="14"/>
      <x:c r="I4" s="14" t="str">
        <x:v>Tabela 02</x:v>
      </x:c>
      <x:c r="J4" s="14" t="str">
        <x:v>Escalonamento 08 a 15 toneladas</x:v>
      </x:c>
      <x:c r="K4" s="14"/>
      <x:c r="L4" s="46" t="n">
        <x:v>3500</x:v>
      </x:c>
      <x:c r="M4" s="46"/>
      <x:c r="N4" s="46"/>
      <x:c r="O4" s="14"/>
      <x:c r="P4" s="14"/>
      <x:c r="Q4" s="14"/>
      <x:c r="R4" s="14" t="str">
        <x:v>ORIGINAL</x:v>
      </x:c>
      <x:c r="S4" s="14" t="str">
        <x:v>NÃO</x:v>
      </x:c>
      <x:c r="T4" s="14" t="str">
        <x:v>REVISAR_OK</x:v>
      </x:c>
      <x:c r="U4" s="14" t="str">
        <x:v>doc20621120260704143158.pdf</x:v>
      </x:c>
      <x:c r="V4" s="14" t="str">
        <x:v>1</x:v>
      </x:c>
      <x:c r="W4" s="14" t="str">
        <x:v>Valor fixo R$3.500,00</x:v>
      </x:c>
      <x:c r="X4"/>
      <x:c r="Y4"/>
      <x:c r="Z4"/>
      <x:c r="AA4"/>
      <x:c r="AB4"/>
      <x:c r="AC4" t="str">
        <x:v>NÃO</x:v>
      </x:c>
      <x:c r="AD4" t="str">
        <x:v>MB AMAZÔNIA</x:v>
      </x:c>
      <x:c r="AE4" s="12" t="str">
        <x:v>FIXO_MINIMO</x:v>
      </x:c>
      <x:c r="AF4" s="12"/>
      <x:c r="AG4" s="12" t="str">
        <x:v>2.6.44</x:v>
      </x:c>
      <x:c r="AH4" s="12" t="str">
        <x:v>Valor fixo/mínimo da tabela; controle visual passivo. Bloco fixo/mínimo mantido desativado nesta etapa.</x:v>
      </x:c>
      <x:c r="AI4"/>
    </x:row>
    <x:row r="5">
      <x:c r="A5" s="14" t="str">
        <x:v>MB_AMAZONIA_0004</x:v>
      </x:c>
      <x:c r="B5" s="14" t="str">
        <x:v>MB_AMAZONIA</x:v>
      </x:c>
      <x:c r="C5" s="14"/>
      <x:c r="D5" s="14"/>
      <x:c r="E5" s="14" t="str">
        <x:v>Belém</x:v>
      </x:c>
      <x:c r="F5" s="14" t="str">
        <x:v>PA</x:v>
      </x:c>
      <x:c r="G5" s="14" t="str">
        <x:v>Cliente COLGATE / P&amp;G / BNB SIMÕES / OUTROS</x:v>
      </x:c>
      <x:c r="H5" s="14"/>
      <x:c r="I5" s="14" t="str">
        <x:v>Tabela 02</x:v>
      </x:c>
      <x:c r="J5" s="14" t="str">
        <x:v>Escalonamento 15 a 20 toneladas</x:v>
      </x:c>
      <x:c r="K5" s="14"/>
      <x:c r="L5" s="46" t="n">
        <x:v>4000</x:v>
      </x:c>
      <x:c r="M5" s="46"/>
      <x:c r="N5" s="46"/>
      <x:c r="O5" s="14"/>
      <x:c r="P5" s="14"/>
      <x:c r="Q5" s="14"/>
      <x:c r="R5" s="14" t="str">
        <x:v>ORIGINAL</x:v>
      </x:c>
      <x:c r="S5" s="14" t="str">
        <x:v>NÃO</x:v>
      </x:c>
      <x:c r="T5" s="14" t="str">
        <x:v>REVISAR_OK</x:v>
      </x:c>
      <x:c r="U5" s="14" t="str">
        <x:v>doc20621120260704143158.pdf</x:v>
      </x:c>
      <x:c r="V5" s="14" t="str">
        <x:v>1</x:v>
      </x:c>
      <x:c r="W5" s="14" t="str">
        <x:v>Valor fixo R$4.000,00</x:v>
      </x:c>
      <x:c r="X5"/>
      <x:c r="Y5"/>
      <x:c r="Z5"/>
      <x:c r="AA5"/>
      <x:c r="AB5"/>
      <x:c r="AC5" t="str">
        <x:v>NÃO</x:v>
      </x:c>
      <x:c r="AD5" t="str">
        <x:v>MB AMAZÔNIA</x:v>
      </x:c>
      <x:c r="AE5" s="12" t="str">
        <x:v>FIXO_MINIMO</x:v>
      </x:c>
      <x:c r="AF5" s="12"/>
      <x:c r="AG5" s="12" t="str">
        <x:v>2.6.44</x:v>
      </x:c>
      <x:c r="AH5" s="12" t="str">
        <x:v>Valor fixo/mínimo da tabela; controle visual passivo. Bloco fixo/mínimo mantido desativado nesta etapa.</x:v>
      </x:c>
      <x:c r="AI5"/>
    </x:row>
    <x:row r="6">
      <x:c r="A6" s="14" t="str">
        <x:v>MB_AMAZONIA_0005</x:v>
      </x:c>
      <x:c r="B6" s="14" t="str">
        <x:v>MB_AMAZONIA</x:v>
      </x:c>
      <x:c r="C6" s="14"/>
      <x:c r="D6" s="14"/>
      <x:c r="E6" s="14" t="str">
        <x:v>Belém</x:v>
      </x:c>
      <x:c r="F6" s="14" t="str">
        <x:v>PA</x:v>
      </x:c>
      <x:c r="G6" s="14" t="str">
        <x:v>Cliente COLGATE / P&amp;G / BNB SIMÕES / OUTROS</x:v>
      </x:c>
      <x:c r="H6" s="14"/>
      <x:c r="I6" s="14" t="str">
        <x:v>Tabela 02</x:v>
      </x:c>
      <x:c r="J6" s="14" t="str">
        <x:v>Escalonamento acima de 20 toneladas</x:v>
      </x:c>
      <x:c r="K6" s="14"/>
      <x:c r="L6" s="46" t="n">
        <x:v>4500</x:v>
      </x:c>
      <x:c r="M6" s="46"/>
      <x:c r="N6" s="46"/>
      <x:c r="O6" s="14"/>
      <x:c r="P6" s="14"/>
      <x:c r="Q6" s="14"/>
      <x:c r="R6" s="14" t="str">
        <x:v>ORIGINAL</x:v>
      </x:c>
      <x:c r="S6" s="14" t="str">
        <x:v>NÃO</x:v>
      </x:c>
      <x:c r="T6" s="14" t="str">
        <x:v>REVISAR_OK</x:v>
      </x:c>
      <x:c r="U6" s="14" t="str">
        <x:v>doc20621120260704143158.pdf</x:v>
      </x:c>
      <x:c r="V6" s="14" t="str">
        <x:v>1</x:v>
      </x:c>
      <x:c r="W6" s="14" t="str">
        <x:v>Valor fixo R$4.500,00</x:v>
      </x:c>
      <x:c r="X6"/>
      <x:c r="Y6"/>
      <x:c r="Z6"/>
      <x:c r="AA6"/>
      <x:c r="AB6"/>
      <x:c r="AC6" t="str">
        <x:v>NÃO</x:v>
      </x:c>
      <x:c r="AD6" t="str">
        <x:v>MB AMAZÔNIA</x:v>
      </x:c>
      <x:c r="AE6" s="12" t="str">
        <x:v>FIXO_MINIMO</x:v>
      </x:c>
      <x:c r="AF6" s="12"/>
      <x:c r="AG6" s="12" t="str">
        <x:v>2.6.44</x:v>
      </x:c>
      <x:c r="AH6" s="12" t="str">
        <x:v>Valor fixo/mínimo da tabela; controle visual passivo. Bloco fixo/mínimo mantido desativado nesta etapa.</x:v>
      </x:c>
      <x:c r="AI6"/>
    </x:row>
    <x:row r="7">
      <x:c r="A7" s="14" t="str">
        <x:v>JSP_0006</x:v>
      </x:c>
      <x:c r="B7" s="14" t="str">
        <x:v>JSP</x:v>
      </x:c>
      <x:c r="C7" s="14"/>
      <x:c r="D7" s="14"/>
      <x:c r="E7" s="14" t="str">
        <x:v>Marabá</x:v>
      </x:c>
      <x:c r="F7" s="14" t="str">
        <x:v>PA</x:v>
      </x:c>
      <x:c r="G7" s="14" t="str">
        <x:v>Benevides</x:v>
      </x:c>
      <x:c r="H7" s="14" t="str">
        <x:v>PA</x:v>
      </x:c>
      <x:c r="I7" s="14" t="str">
        <x:v>REGIÃO GUAMÁ</x:v>
      </x:c>
      <x:c r="J7" s="14"/>
      <x:c r="K7" s="14" t="str">
        <x:v>30%</x:v>
      </x:c>
      <x:c r="L7" s="46" t="n">
        <x:v>50</x:v>
      </x:c>
      <x:c r="M7" s="46" t="str">
        <x:v>2,05 (CT-e)</x:v>
      </x:c>
      <x:c r="N7" s="46"/>
      <x:c r="O7" s="14" t="str">
        <x:v>IMPOSTO/GRIS</x:v>
      </x:c>
      <x:c r="P7" s="14" t="str">
        <x:v>D+1</x:v>
      </x:c>
      <x:c r="Q7" s="14" t="str">
        <x:v>Seg a Sexta</x:v>
      </x:c>
      <x:c r="R7" s="14" t="str">
        <x:v>ORIGINAL</x:v>
      </x:c>
      <x:c r="S7" s="14" t="str">
        <x:v>NÃO</x:v>
      </x:c>
      <x:c r="T7" s="14" t="str">
        <x:v>REVISAR_OK</x:v>
      </x:c>
      <x:c r="U7" s="14" t="str">
        <x:v>doc20621320260704143240.pdf</x:v>
      </x:c>
      <x:c r="V7" s="14" t="str">
        <x:v>1</x:v>
      </x:c>
      <x:c r="W7" s="14"/>
      <x:c r="X7"/>
      <x:c r="Y7"/>
      <x:c r="Z7" t="str">
        <x:v>SIM</x:v>
      </x:c>
      <x:c r="AA7" t="n">
        <x:v>2.05</x:v>
      </x:c>
      <x:c r="AB7"/>
      <x:c r="AC7" t="str">
        <x:v>SIM</x:v>
      </x:c>
      <x:c r="AD7" t="str">
        <x:v>JSP</x:v>
      </x:c>
      <x:c r="AE7" s="12" t="str">
        <x:v>PERCENTUAL</x:v>
      </x:c>
      <x:c r="AF7" s="12" t="str">
        <x:v>CTE</x:v>
      </x:c>
      <x:c r="AG7" s="12" t="str">
        <x:v>2.6.46</x:v>
      </x:c>
      <x:c r="AH7" s="12" t="str">
        <x:v>Pedágio JSP por CT-e conforme fonte; controle visual passivo.</x:v>
      </x:c>
      <x:c r="AI7"/>
    </x:row>
    <x:row r="8">
      <x:c r="A8" s="14" t="str">
        <x:v>JSP_0007</x:v>
      </x:c>
      <x:c r="B8" s="14" t="str">
        <x:v>JSP</x:v>
      </x:c>
      <x:c r="C8" s="14"/>
      <x:c r="D8" s="14"/>
      <x:c r="E8" s="14" t="str">
        <x:v>Marabá</x:v>
      </x:c>
      <x:c r="F8" s="14" t="str">
        <x:v>PA</x:v>
      </x:c>
      <x:c r="G8" s="14" t="str">
        <x:v>Castanhal</x:v>
      </x:c>
      <x:c r="H8" s="14" t="str">
        <x:v>PA</x:v>
      </x:c>
      <x:c r="I8" s="14" t="str">
        <x:v>REGIÃO GUAMÁ</x:v>
      </x:c>
      <x:c r="J8" s="14"/>
      <x:c r="K8" s="14" t="str">
        <x:v>30%</x:v>
      </x:c>
      <x:c r="L8" s="46" t="n">
        <x:v>50</x:v>
      </x:c>
      <x:c r="M8" s="46" t="str">
        <x:v>2,05 (CT-e)</x:v>
      </x:c>
      <x:c r="N8" s="46"/>
      <x:c r="O8" s="14" t="str">
        <x:v>IMPOSTO/GRIS</x:v>
      </x:c>
      <x:c r="P8" s="14" t="str">
        <x:v>D+1</x:v>
      </x:c>
      <x:c r="Q8" s="14" t="str">
        <x:v>Seg a Sexta</x:v>
      </x:c>
      <x:c r="R8" s="14" t="str">
        <x:v>ORIGINAL</x:v>
      </x:c>
      <x:c r="S8" s="14" t="str">
        <x:v>NÃO</x:v>
      </x:c>
      <x:c r="T8" s="14" t="str">
        <x:v>REVISAR_OK</x:v>
      </x:c>
      <x:c r="U8" s="14" t="str">
        <x:v>doc20621320260704143240.pdf</x:v>
      </x:c>
      <x:c r="V8" s="14" t="str">
        <x:v>1</x:v>
      </x:c>
      <x:c r="W8" s="14"/>
      <x:c r="X8"/>
      <x:c r="Y8"/>
      <x:c r="Z8" t="str">
        <x:v>SIM</x:v>
      </x:c>
      <x:c r="AA8" t="n">
        <x:v>2.05</x:v>
      </x:c>
      <x:c r="AB8"/>
      <x:c r="AC8" t="str">
        <x:v>SIM</x:v>
      </x:c>
      <x:c r="AD8" t="str">
        <x:v>JSP</x:v>
      </x:c>
      <x:c r="AE8" s="12" t="str">
        <x:v>PERCENTUAL</x:v>
      </x:c>
      <x:c r="AF8" s="12" t="str">
        <x:v>CTE</x:v>
      </x:c>
      <x:c r="AG8" s="12" t="str">
        <x:v>2.6.46</x:v>
      </x:c>
      <x:c r="AH8" s="12" t="str">
        <x:v>Pedágio JSP por CT-e conforme fonte; controle visual passivo.</x:v>
      </x:c>
      <x:c r="AI8"/>
    </x:row>
    <x:row r="9">
      <x:c r="A9" s="14" t="str">
        <x:v>JSP_0008</x:v>
      </x:c>
      <x:c r="B9" s="14" t="str">
        <x:v>JSP</x:v>
      </x:c>
      <x:c r="C9" s="14"/>
      <x:c r="D9" s="14"/>
      <x:c r="E9" s="14" t="str">
        <x:v>Marabá</x:v>
      </x:c>
      <x:c r="F9" s="14" t="str">
        <x:v>PA</x:v>
      </x:c>
      <x:c r="G9" s="14" t="str">
        <x:v>Acará</x:v>
      </x:c>
      <x:c r="H9" s="14" t="str">
        <x:v>PA</x:v>
      </x:c>
      <x:c r="I9" s="14" t="str">
        <x:v>REGIÃO GUAMÁ</x:v>
      </x:c>
      <x:c r="J9" s="14"/>
      <x:c r="K9" s="14" t="str">
        <x:v>30%</x:v>
      </x:c>
      <x:c r="L9" s="46" t="n">
        <x:v>50</x:v>
      </x:c>
      <x:c r="M9" s="46" t="str">
        <x:v>2,05 (CT-e)</x:v>
      </x:c>
      <x:c r="N9" s="46"/>
      <x:c r="O9" s="14" t="str">
        <x:v>IMPOSTO/GRIS</x:v>
      </x:c>
      <x:c r="P9" s="14" t="str">
        <x:v>D+2</x:v>
      </x:c>
      <x:c r="Q9" s="14" t="str">
        <x:v>Seg a Sexta</x:v>
      </x:c>
      <x:c r="R9" s="14" t="str">
        <x:v>ORIGINAL</x:v>
      </x:c>
      <x:c r="S9" s="14" t="str">
        <x:v>NÃO</x:v>
      </x:c>
      <x:c r="T9" s="14" t="str">
        <x:v>REVISAR_OK</x:v>
      </x:c>
      <x:c r="U9" s="14" t="str">
        <x:v>doc20621320260704143240.pdf</x:v>
      </x:c>
      <x:c r="V9" s="14" t="str">
        <x:v>1</x:v>
      </x:c>
      <x:c r="W9" s="14"/>
      <x:c r="X9"/>
      <x:c r="Y9"/>
      <x:c r="Z9" t="str">
        <x:v>SIM</x:v>
      </x:c>
      <x:c r="AA9" t="n">
        <x:v>2.05</x:v>
      </x:c>
      <x:c r="AB9"/>
      <x:c r="AC9" t="str">
        <x:v>SIM</x:v>
      </x:c>
      <x:c r="AD9" t="str">
        <x:v>JSP</x:v>
      </x:c>
      <x:c r="AE9" s="12" t="str">
        <x:v>PERCENTUAL</x:v>
      </x:c>
      <x:c r="AF9" s="12" t="str">
        <x:v>CTE</x:v>
      </x:c>
      <x:c r="AG9" s="12" t="str">
        <x:v>2.6.46</x:v>
      </x:c>
      <x:c r="AH9" s="12" t="str">
        <x:v>Pedágio JSP por CT-e conforme fonte; controle visual passivo.</x:v>
      </x:c>
      <x:c r="AI9"/>
    </x:row>
    <x:row r="10">
      <x:c r="A10" s="14" t="str">
        <x:v>JSP_0009</x:v>
      </x:c>
      <x:c r="B10" s="14" t="str">
        <x:v>JSP</x:v>
      </x:c>
      <x:c r="C10" s="14"/>
      <x:c r="D10" s="14"/>
      <x:c r="E10" s="14" t="str">
        <x:v>Marabá</x:v>
      </x:c>
      <x:c r="F10" s="14" t="str">
        <x:v>PA</x:v>
      </x:c>
      <x:c r="G10" s="14" t="str">
        <x:v>Moju</x:v>
      </x:c>
      <x:c r="H10" s="14" t="str">
        <x:v>PA</x:v>
      </x:c>
      <x:c r="I10" s="14" t="str">
        <x:v>REGIÃO GUAMÁ</x:v>
      </x:c>
      <x:c r="J10" s="14"/>
      <x:c r="K10" s="14" t="str">
        <x:v>30%</x:v>
      </x:c>
      <x:c r="L10" s="46" t="n">
        <x:v>50</x:v>
      </x:c>
      <x:c r="M10" s="46" t="str">
        <x:v>2,05 (CT-e)</x:v>
      </x:c>
      <x:c r="N10" s="46"/>
      <x:c r="O10" s="14" t="str">
        <x:v>IMPOSTO/GRIS</x:v>
      </x:c>
      <x:c r="P10" s="14" t="str">
        <x:v>D+2</x:v>
      </x:c>
      <x:c r="Q10" s="14" t="str">
        <x:v>Seg a Sexta</x:v>
      </x:c>
      <x:c r="R10" s="14" t="str">
        <x:v>ORIGINAL</x:v>
      </x:c>
      <x:c r="S10" s="14" t="str">
        <x:v>NÃO</x:v>
      </x:c>
      <x:c r="T10" s="14" t="str">
        <x:v>REVISAR_OK</x:v>
      </x:c>
      <x:c r="U10" s="14" t="str">
        <x:v>doc20621320260704143240.pdf</x:v>
      </x:c>
      <x:c r="V10" s="14" t="str">
        <x:v>1</x:v>
      </x:c>
      <x:c r="W10" s="14"/>
      <x:c r="X10"/>
      <x:c r="Y10"/>
      <x:c r="Z10" t="str">
        <x:v>SIM</x:v>
      </x:c>
      <x:c r="AA10" t="n">
        <x:v>2.05</x:v>
      </x:c>
      <x:c r="AB10"/>
      <x:c r="AC10" t="str">
        <x:v>SIM</x:v>
      </x:c>
      <x:c r="AD10" t="str">
        <x:v>JSP</x:v>
      </x:c>
      <x:c r="AE10" s="12" t="str">
        <x:v>PERCENTUAL</x:v>
      </x:c>
      <x:c r="AF10" s="12" t="str">
        <x:v>CTE</x:v>
      </x:c>
      <x:c r="AG10" s="12" t="str">
        <x:v>2.6.46</x:v>
      </x:c>
      <x:c r="AH10" s="12" t="str">
        <x:v>Pedágio JSP por CT-e conforme fonte; controle visual passivo.</x:v>
      </x:c>
      <x:c r="AI10"/>
    </x:row>
    <x:row r="11">
      <x:c r="A11" s="14" t="str">
        <x:v>JSP_0010</x:v>
      </x:c>
      <x:c r="B11" s="14" t="str">
        <x:v>JSP</x:v>
      </x:c>
      <x:c r="C11" s="14"/>
      <x:c r="D11" s="14"/>
      <x:c r="E11" s="14" t="str">
        <x:v>Marabá</x:v>
      </x:c>
      <x:c r="F11" s="14" t="str">
        <x:v>PA</x:v>
      </x:c>
      <x:c r="G11" s="14" t="str">
        <x:v>Ananindeua</x:v>
      </x:c>
      <x:c r="H11" s="14" t="str">
        <x:v>PA</x:v>
      </x:c>
      <x:c r="I11" s="14" t="str">
        <x:v>REGIÃO GUAMÁ</x:v>
      </x:c>
      <x:c r="J11" s="14"/>
      <x:c r="K11" s="14" t="str">
        <x:v>30%</x:v>
      </x:c>
      <x:c r="L11" s="46" t="n">
        <x:v>70</x:v>
      </x:c>
      <x:c r="M11" s="46" t="str">
        <x:v>2,05 (CT-e)</x:v>
      </x:c>
      <x:c r="N11" s="46"/>
      <x:c r="O11" s="14" t="str">
        <x:v>IMPOSTO/GRIS</x:v>
      </x:c>
      <x:c r="P11" s="14" t="str">
        <x:v>D+2</x:v>
      </x:c>
      <x:c r="Q11" s="14" t="str">
        <x:v>Seg a Sexta</x:v>
      </x:c>
      <x:c r="R11" s="14" t="str">
        <x:v>ORIGINAL</x:v>
      </x:c>
      <x:c r="S11" s="14" t="str">
        <x:v>NÃO</x:v>
      </x:c>
      <x:c r="T11" s="14" t="str">
        <x:v>REVISAR_OK</x:v>
      </x:c>
      <x:c r="U11" s="14" t="str">
        <x:v>doc20621320260704143240.pdf</x:v>
      </x:c>
      <x:c r="V11" s="14" t="str">
        <x:v>1</x:v>
      </x:c>
      <x:c r="W11" s="14"/>
      <x:c r="X11"/>
      <x:c r="Y11"/>
      <x:c r="Z11" t="str">
        <x:v>SIM</x:v>
      </x:c>
      <x:c r="AA11" t="n">
        <x:v>2.05</x:v>
      </x:c>
      <x:c r="AB11"/>
      <x:c r="AC11" t="str">
        <x:v>SIM</x:v>
      </x:c>
      <x:c r="AD11" t="str">
        <x:v>JSP</x:v>
      </x:c>
      <x:c r="AE11" s="12" t="str">
        <x:v>PERCENTUAL</x:v>
      </x:c>
      <x:c r="AF11" s="12" t="str">
        <x:v>CTE</x:v>
      </x:c>
      <x:c r="AG11" s="12" t="str">
        <x:v>2.6.46</x:v>
      </x:c>
      <x:c r="AH11" s="12" t="str">
        <x:v>Pedágio JSP por CT-e conforme fonte; controle visual passivo.</x:v>
      </x:c>
      <x:c r="AI11"/>
    </x:row>
    <x:row r="12">
      <x:c r="A12" s="14" t="str">
        <x:v>JSP_0011</x:v>
      </x:c>
      <x:c r="B12" s="14" t="str">
        <x:v>JSP</x:v>
      </x:c>
      <x:c r="C12" s="14"/>
      <x:c r="D12" s="14"/>
      <x:c r="E12" s="14" t="str">
        <x:v>Marabá</x:v>
      </x:c>
      <x:c r="F12" s="14" t="str">
        <x:v>PA</x:v>
      </x:c>
      <x:c r="G12" s="14" t="str">
        <x:v>Tailândia</x:v>
      </x:c>
      <x:c r="H12" s="14" t="str">
        <x:v>PA</x:v>
      </x:c>
      <x:c r="I12" s="14" t="str">
        <x:v>REGIÃO TOCANTINS</x:v>
      </x:c>
      <x:c r="J12" s="14"/>
      <x:c r="K12" s="14" t="str">
        <x:v>30%</x:v>
      </x:c>
      <x:c r="L12" s="46" t="n">
        <x:v>50</x:v>
      </x:c>
      <x:c r="M12" s="46" t="str">
        <x:v>2,05 (CT-e)</x:v>
      </x:c>
      <x:c r="N12" s="46"/>
      <x:c r="O12" s="14" t="str">
        <x:v>IMPOSTO/GRIS</x:v>
      </x:c>
      <x:c r="P12" s="14" t="str">
        <x:v>D+1</x:v>
      </x:c>
      <x:c r="Q12" s="14" t="str">
        <x:v>Seg a Sexta</x:v>
      </x:c>
      <x:c r="R12" s="14" t="str">
        <x:v>ORIGINAL</x:v>
      </x:c>
      <x:c r="S12" s="14" t="str">
        <x:v>NÃO</x:v>
      </x:c>
      <x:c r="T12" s="14" t="str">
        <x:v>REVISAR_OK</x:v>
      </x:c>
      <x:c r="U12" s="14" t="str">
        <x:v>doc20621320260704143240.pdf</x:v>
      </x:c>
      <x:c r="V12" s="14" t="str">
        <x:v>1</x:v>
      </x:c>
      <x:c r="W12" s="14"/>
      <x:c r="X12"/>
      <x:c r="Y12"/>
      <x:c r="Z12" t="str">
        <x:v>SIM</x:v>
      </x:c>
      <x:c r="AA12" t="n">
        <x:v>2.05</x:v>
      </x:c>
      <x:c r="AB12"/>
      <x:c r="AC12" t="str">
        <x:v>SIM</x:v>
      </x:c>
      <x:c r="AD12" t="str">
        <x:v>JSP</x:v>
      </x:c>
      <x:c r="AE12" s="12" t="str">
        <x:v>PERCENTUAL</x:v>
      </x:c>
      <x:c r="AF12" s="12" t="str">
        <x:v>CTE</x:v>
      </x:c>
      <x:c r="AG12" s="12" t="str">
        <x:v>2.6.46</x:v>
      </x:c>
      <x:c r="AH12" s="12" t="str">
        <x:v>Pedágio JSP por CT-e conforme fonte; controle visual passivo.</x:v>
      </x:c>
      <x:c r="AI12"/>
    </x:row>
    <x:row r="13">
      <x:c r="A13" s="14" t="str">
        <x:v>JSP_0012</x:v>
      </x:c>
      <x:c r="B13" s="14" t="str">
        <x:v>JSP</x:v>
      </x:c>
      <x:c r="C13" s="14"/>
      <x:c r="D13" s="14"/>
      <x:c r="E13" s="14" t="str">
        <x:v>Marabá</x:v>
      </x:c>
      <x:c r="F13" s="14" t="str">
        <x:v>PA</x:v>
      </x:c>
      <x:c r="G13" s="14" t="str">
        <x:v>Breu Branco</x:v>
      </x:c>
      <x:c r="H13" s="14" t="str">
        <x:v>PA</x:v>
      </x:c>
      <x:c r="I13" s="14" t="str">
        <x:v>REGIÃO LAGO TUCURUÍ</x:v>
      </x:c>
      <x:c r="J13" s="14"/>
      <x:c r="K13" s="14" t="str">
        <x:v>30%</x:v>
      </x:c>
      <x:c r="L13" s="46" t="n">
        <x:v>50</x:v>
      </x:c>
      <x:c r="M13" s="46" t="str">
        <x:v>0,00 (CT-e)</x:v>
      </x:c>
      <x:c r="N13" s="46"/>
      <x:c r="O13" s="14" t="str">
        <x:v>IMPOSTO/GRIS</x:v>
      </x:c>
      <x:c r="P13" s="14" t="str">
        <x:v>D+1</x:v>
      </x:c>
      <x:c r="Q13" s="14" t="str">
        <x:v>Seg a Sexta</x:v>
      </x:c>
      <x:c r="R13" s="14" t="str">
        <x:v>ORIGINAL</x:v>
      </x:c>
      <x:c r="S13" s="14" t="str">
        <x:v>NÃO</x:v>
      </x:c>
      <x:c r="T13" s="14" t="str">
        <x:v>REVISAR_OK</x:v>
      </x:c>
      <x:c r="U13" s="14" t="str">
        <x:v>doc20621320260704143240.pdf</x:v>
      </x:c>
      <x:c r="V13" s="14" t="str">
        <x:v>1</x:v>
      </x:c>
      <x:c r="W13" s="14"/>
      <x:c r="X13"/>
      <x:c r="Y13"/>
      <x:c r="Z13" t="str">
        <x:v>NÃO</x:v>
      </x:c>
      <x:c r="AA13" t="n">
        <x:v>0</x:v>
      </x:c>
      <x:c r="AB13"/>
      <x:c r="AC13" t="str">
        <x:v>SIM</x:v>
      </x:c>
      <x:c r="AD13" t="str">
        <x:v>JSP</x:v>
      </x:c>
      <x:c r="AE13" s="12" t="str">
        <x:v>PERCENTUAL</x:v>
      </x:c>
      <x:c r="AF13" s="12" t="str">
        <x:v>CTE</x:v>
      </x:c>
      <x:c r="AG13" s="12" t="str">
        <x:v>2.6.46</x:v>
      </x:c>
      <x:c r="AH13" s="12" t="str">
        <x:v>Pedágio JSP informado como 0,00 por CT-e na fonte.</x:v>
      </x:c>
      <x:c r="AI13"/>
    </x:row>
    <x:row r="14">
      <x:c r="A14" s="14" t="str">
        <x:v>JSP_0013</x:v>
      </x:c>
      <x:c r="B14" s="14" t="str">
        <x:v>JSP</x:v>
      </x:c>
      <x:c r="C14" s="14"/>
      <x:c r="D14" s="14"/>
      <x:c r="E14" s="14" t="str">
        <x:v>Marabá</x:v>
      </x:c>
      <x:c r="F14" s="14" t="str">
        <x:v>PA</x:v>
      </x:c>
      <x:c r="G14" s="14" t="str">
        <x:v>Goianésia do Pará</x:v>
      </x:c>
      <x:c r="H14" s="14" t="str">
        <x:v>PA</x:v>
      </x:c>
      <x:c r="I14" s="14" t="str">
        <x:v>REGIÃO LAGO TUCURUÍ</x:v>
      </x:c>
      <x:c r="J14" s="14"/>
      <x:c r="K14" s="14" t="str">
        <x:v>30%</x:v>
      </x:c>
      <x:c r="L14" s="46" t="n">
        <x:v>50</x:v>
      </x:c>
      <x:c r="M14" s="46" t="str">
        <x:v>0,00 (CT-e)</x:v>
      </x:c>
      <x:c r="N14" s="46"/>
      <x:c r="O14" s="14" t="str">
        <x:v>IMPOSTO/GRIS</x:v>
      </x:c>
      <x:c r="P14" s="14" t="str">
        <x:v>D+1</x:v>
      </x:c>
      <x:c r="Q14" s="14" t="str">
        <x:v>Seg a Sexta</x:v>
      </x:c>
      <x:c r="R14" s="14" t="str">
        <x:v>ORIGINAL</x:v>
      </x:c>
      <x:c r="S14" s="14" t="str">
        <x:v>NÃO</x:v>
      </x:c>
      <x:c r="T14" s="14" t="str">
        <x:v>REVISAR_OK</x:v>
      </x:c>
      <x:c r="U14" s="14" t="str">
        <x:v>doc20621320260704143240.pdf</x:v>
      </x:c>
      <x:c r="V14" s="14" t="str">
        <x:v>1</x:v>
      </x:c>
      <x:c r="W14" s="14"/>
      <x:c r="X14"/>
      <x:c r="Y14"/>
      <x:c r="Z14" t="str">
        <x:v>NÃO</x:v>
      </x:c>
      <x:c r="AA14" t="n">
        <x:v>0</x:v>
      </x:c>
      <x:c r="AB14"/>
      <x:c r="AC14" t="str">
        <x:v>SIM</x:v>
      </x:c>
      <x:c r="AD14" t="str">
        <x:v>JSP</x:v>
      </x:c>
      <x:c r="AE14" s="12" t="str">
        <x:v>PERCENTUAL</x:v>
      </x:c>
      <x:c r="AF14" s="12" t="str">
        <x:v>CTE</x:v>
      </x:c>
      <x:c r="AG14" s="12" t="str">
        <x:v>2.6.46</x:v>
      </x:c>
      <x:c r="AH14" s="12" t="str">
        <x:v>Pedágio JSP informado como 0,00 por CT-e na fonte.</x:v>
      </x:c>
      <x:c r="AI14"/>
    </x:row>
    <x:row r="15">
      <x:c r="A15" s="14" t="str">
        <x:v>JSP_0014</x:v>
      </x:c>
      <x:c r="B15" s="14" t="str">
        <x:v>JSP</x:v>
      </x:c>
      <x:c r="C15" s="14"/>
      <x:c r="D15" s="14"/>
      <x:c r="E15" s="14" t="str">
        <x:v>Marabá</x:v>
      </x:c>
      <x:c r="F15" s="14" t="str">
        <x:v>PA</x:v>
      </x:c>
      <x:c r="G15" s="14" t="str">
        <x:v>Jacundá</x:v>
      </x:c>
      <x:c r="H15" s="14" t="str">
        <x:v>PA</x:v>
      </x:c>
      <x:c r="I15" s="14" t="str">
        <x:v>REGIÃO LAGO TUCURUÍ</x:v>
      </x:c>
      <x:c r="J15" s="14"/>
      <x:c r="K15" s="14" t="str">
        <x:v>30%</x:v>
      </x:c>
      <x:c r="L15" s="46" t="n">
        <x:v>50</x:v>
      </x:c>
      <x:c r="M15" s="46" t="str">
        <x:v>0,00 (CT-e)</x:v>
      </x:c>
      <x:c r="N15" s="46"/>
      <x:c r="O15" s="14" t="str">
        <x:v>IMPOSTO/GRIS</x:v>
      </x:c>
      <x:c r="P15" s="14" t="str">
        <x:v>D+1</x:v>
      </x:c>
      <x:c r="Q15" s="14" t="str">
        <x:v>Seg a Sexta</x:v>
      </x:c>
      <x:c r="R15" s="14" t="str">
        <x:v>ORIGINAL</x:v>
      </x:c>
      <x:c r="S15" s="14" t="str">
        <x:v>NÃO</x:v>
      </x:c>
      <x:c r="T15" s="14" t="str">
        <x:v>REVISAR_OK</x:v>
      </x:c>
      <x:c r="U15" s="14" t="str">
        <x:v>doc20621320260704143240.pdf</x:v>
      </x:c>
      <x:c r="V15" s="14" t="str">
        <x:v>1</x:v>
      </x:c>
      <x:c r="W15" s="14"/>
      <x:c r="X15"/>
      <x:c r="Y15"/>
      <x:c r="Z15" t="str">
        <x:v>NÃO</x:v>
      </x:c>
      <x:c r="AA15" t="n">
        <x:v>0</x:v>
      </x:c>
      <x:c r="AB15"/>
      <x:c r="AC15" t="str">
        <x:v>SIM</x:v>
      </x:c>
      <x:c r="AD15" t="str">
        <x:v>JSP</x:v>
      </x:c>
      <x:c r="AE15" s="12" t="str">
        <x:v>PERCENTUAL</x:v>
      </x:c>
      <x:c r="AF15" s="12" t="str">
        <x:v>CTE</x:v>
      </x:c>
      <x:c r="AG15" s="12" t="str">
        <x:v>2.6.46</x:v>
      </x:c>
      <x:c r="AH15" s="12" t="str">
        <x:v>Pedágio JSP informado como 0,00 por CT-e na fonte.</x:v>
      </x:c>
      <x:c r="AI15"/>
    </x:row>
    <x:row r="16">
      <x:c r="A16" s="14" t="str">
        <x:v>JSP_0015</x:v>
      </x:c>
      <x:c r="B16" s="14" t="str">
        <x:v>JSP</x:v>
      </x:c>
      <x:c r="C16" s="14"/>
      <x:c r="D16" s="14"/>
      <x:c r="E16" s="14" t="str">
        <x:v>Marabá</x:v>
      </x:c>
      <x:c r="F16" s="14" t="str">
        <x:v>PA</x:v>
      </x:c>
      <x:c r="G16" s="14" t="str">
        <x:v>Novo Repartimento</x:v>
      </x:c>
      <x:c r="H16" s="14" t="str">
        <x:v>PA</x:v>
      </x:c>
      <x:c r="I16" s="14" t="str">
        <x:v>REGIÃO LAGO TUCURUÍ</x:v>
      </x:c>
      <x:c r="J16" s="14"/>
      <x:c r="K16" s="14" t="str">
        <x:v>30%</x:v>
      </x:c>
      <x:c r="L16" s="46" t="n">
        <x:v>50</x:v>
      </x:c>
      <x:c r="M16" s="46" t="str">
        <x:v>0,00 (CT-e)</x:v>
      </x:c>
      <x:c r="N16" s="46"/>
      <x:c r="O16" s="14" t="str">
        <x:v>IMPOSTO/GRIS</x:v>
      </x:c>
      <x:c r="P16" s="14" t="str">
        <x:v>D+1</x:v>
      </x:c>
      <x:c r="Q16" s="14" t="str">
        <x:v>Seg a Sexta</x:v>
      </x:c>
      <x:c r="R16" s="14" t="str">
        <x:v>ORIGINAL</x:v>
      </x:c>
      <x:c r="S16" s="14" t="str">
        <x:v>NÃO</x:v>
      </x:c>
      <x:c r="T16" s="14" t="str">
        <x:v>REVISAR_OK</x:v>
      </x:c>
      <x:c r="U16" s="14" t="str">
        <x:v>doc20621320260704143240.pdf</x:v>
      </x:c>
      <x:c r="V16" s="14" t="str">
        <x:v>1</x:v>
      </x:c>
      <x:c r="W16" s="14"/>
      <x:c r="X16"/>
      <x:c r="Y16"/>
      <x:c r="Z16" t="str">
        <x:v>NÃO</x:v>
      </x:c>
      <x:c r="AA16" t="n">
        <x:v>0</x:v>
      </x:c>
      <x:c r="AB16"/>
      <x:c r="AC16" t="str">
        <x:v>SIM</x:v>
      </x:c>
      <x:c r="AD16" t="str">
        <x:v>JSP</x:v>
      </x:c>
      <x:c r="AE16" s="12" t="str">
        <x:v>PERCENTUAL</x:v>
      </x:c>
      <x:c r="AF16" s="12" t="str">
        <x:v>CTE</x:v>
      </x:c>
      <x:c r="AG16" s="12" t="str">
        <x:v>2.6.46</x:v>
      </x:c>
      <x:c r="AH16" s="12" t="str">
        <x:v>Pedágio JSP informado como 0,00 por CT-e na fonte.</x:v>
      </x:c>
      <x:c r="AI16"/>
    </x:row>
    <x:row r="17">
      <x:c r="A17" s="14" t="str">
        <x:v>JSP_0016</x:v>
      </x:c>
      <x:c r="B17" s="14" t="str">
        <x:v>JSP</x:v>
      </x:c>
      <x:c r="C17" s="14"/>
      <x:c r="D17" s="14"/>
      <x:c r="E17" s="14" t="str">
        <x:v>Marabá</x:v>
      </x:c>
      <x:c r="F17" s="14" t="str">
        <x:v>PA</x:v>
      </x:c>
      <x:c r="G17" s="14" t="str">
        <x:v>Tucuruí</x:v>
      </x:c>
      <x:c r="H17" s="14" t="str">
        <x:v>PA</x:v>
      </x:c>
      <x:c r="I17" s="14" t="str">
        <x:v>REGIÃO LAGO TUCURUÍ</x:v>
      </x:c>
      <x:c r="J17" s="14"/>
      <x:c r="K17" s="14" t="str">
        <x:v>30%</x:v>
      </x:c>
      <x:c r="L17" s="46" t="n">
        <x:v>50</x:v>
      </x:c>
      <x:c r="M17" s="46" t="str">
        <x:v>0,00 (CT-e)</x:v>
      </x:c>
      <x:c r="N17" s="46"/>
      <x:c r="O17" s="14" t="str">
        <x:v>IMPOSTO/GRIS</x:v>
      </x:c>
      <x:c r="P17" s="14" t="str">
        <x:v>D+1</x:v>
      </x:c>
      <x:c r="Q17" s="14" t="str">
        <x:v>Seg a Sexta</x:v>
      </x:c>
      <x:c r="R17" s="14" t="str">
        <x:v>ORIGINAL</x:v>
      </x:c>
      <x:c r="S17" s="14" t="str">
        <x:v>NÃO</x:v>
      </x:c>
      <x:c r="T17" s="14" t="str">
        <x:v>REVISAR_OK</x:v>
      </x:c>
      <x:c r="U17" s="14" t="str">
        <x:v>doc20621320260704143240.pdf</x:v>
      </x:c>
      <x:c r="V17" s="14" t="str">
        <x:v>1</x:v>
      </x:c>
      <x:c r="W17" s="14"/>
      <x:c r="X17"/>
      <x:c r="Y17"/>
      <x:c r="Z17" t="str">
        <x:v>NÃO</x:v>
      </x:c>
      <x:c r="AA17" t="n">
        <x:v>0</x:v>
      </x:c>
      <x:c r="AB17"/>
      <x:c r="AC17" t="str">
        <x:v>SIM</x:v>
      </x:c>
      <x:c r="AD17" t="str">
        <x:v>JSP</x:v>
      </x:c>
      <x:c r="AE17" s="12" t="str">
        <x:v>PERCENTUAL</x:v>
      </x:c>
      <x:c r="AF17" s="12" t="str">
        <x:v>CTE</x:v>
      </x:c>
      <x:c r="AG17" s="12" t="str">
        <x:v>2.6.46</x:v>
      </x:c>
      <x:c r="AH17" s="12" t="str">
        <x:v>Pedágio JSP informado como 0,00 por CT-e na fonte.</x:v>
      </x:c>
      <x:c r="AI17"/>
    </x:row>
    <x:row r="18">
      <x:c r="A18" s="14" t="str">
        <x:v>JSP_0017</x:v>
      </x:c>
      <x:c r="B18" s="14" t="str">
        <x:v>JSP</x:v>
      </x:c>
      <x:c r="C18" s="14"/>
      <x:c r="D18" s="14"/>
      <x:c r="E18" s="14" t="str">
        <x:v>Marabá</x:v>
      </x:c>
      <x:c r="F18" s="14" t="str">
        <x:v>PA</x:v>
      </x:c>
      <x:c r="G18" s="14" t="str">
        <x:v>Nova Ipixuna</x:v>
      </x:c>
      <x:c r="H18" s="14" t="str">
        <x:v>PA</x:v>
      </x:c>
      <x:c r="I18" s="14" t="str">
        <x:v>REGIÃO LAGO TUCURUÍ</x:v>
      </x:c>
      <x:c r="J18" s="14"/>
      <x:c r="K18" s="14" t="str">
        <x:v>30%</x:v>
      </x:c>
      <x:c r="L18" s="46" t="n">
        <x:v>50</x:v>
      </x:c>
      <x:c r="M18" s="46" t="str">
        <x:v>0,00 (CT-e)</x:v>
      </x:c>
      <x:c r="N18" s="46"/>
      <x:c r="O18" s="14" t="str">
        <x:v>IMPOSTO/GRIS</x:v>
      </x:c>
      <x:c r="P18" s="14" t="str">
        <x:v>D+2</x:v>
      </x:c>
      <x:c r="Q18" s="14" t="str">
        <x:v>Seg a Sexta</x:v>
      </x:c>
      <x:c r="R18" s="14" t="str">
        <x:v>ORIGINAL</x:v>
      </x:c>
      <x:c r="S18" s="14" t="str">
        <x:v>NÃO</x:v>
      </x:c>
      <x:c r="T18" s="14" t="str">
        <x:v>REVISAR_OK</x:v>
      </x:c>
      <x:c r="U18" s="14" t="str">
        <x:v>doc20621320260704143240.pdf</x:v>
      </x:c>
      <x:c r="V18" s="14" t="str">
        <x:v>1</x:v>
      </x:c>
      <x:c r="W18" s="14"/>
      <x:c r="X18"/>
      <x:c r="Y18"/>
      <x:c r="Z18" t="str">
        <x:v>NÃO</x:v>
      </x:c>
      <x:c r="AA18" t="n">
        <x:v>0</x:v>
      </x:c>
      <x:c r="AB18"/>
      <x:c r="AC18" t="str">
        <x:v>SIM</x:v>
      </x:c>
      <x:c r="AD18" t="str">
        <x:v>JSP</x:v>
      </x:c>
      <x:c r="AE18" s="12" t="str">
        <x:v>PERCENTUAL</x:v>
      </x:c>
      <x:c r="AF18" s="12" t="str">
        <x:v>CTE</x:v>
      </x:c>
      <x:c r="AG18" s="12" t="str">
        <x:v>2.6.46</x:v>
      </x:c>
      <x:c r="AH18" s="12" t="str">
        <x:v>Pedágio JSP informado como 0,00 por CT-e na fonte.</x:v>
      </x:c>
      <x:c r="AI18"/>
    </x:row>
    <x:row r="19">
      <x:c r="A19" s="14" t="str">
        <x:v>JSP_0018</x:v>
      </x:c>
      <x:c r="B19" s="14" t="str">
        <x:v>JSP</x:v>
      </x:c>
      <x:c r="C19" s="14"/>
      <x:c r="D19" s="14"/>
      <x:c r="E19" s="14" t="str">
        <x:v>Marabá</x:v>
      </x:c>
      <x:c r="F19" s="14" t="str">
        <x:v>PA</x:v>
      </x:c>
      <x:c r="G19" s="14" t="str">
        <x:v>Altamira</x:v>
      </x:c>
      <x:c r="H19" s="14" t="str">
        <x:v>PA</x:v>
      </x:c>
      <x:c r="I19" s="14" t="str">
        <x:v>REGIÃO XINGU</x:v>
      </x:c>
      <x:c r="J19" s="14"/>
      <x:c r="K19" s="14" t="str">
        <x:v>30%</x:v>
      </x:c>
      <x:c r="L19" s="46" t="n">
        <x:v>50</x:v>
      </x:c>
      <x:c r="M19" s="46" t="str">
        <x:v>0,00 (CT-e)</x:v>
      </x:c>
      <x:c r="N19" s="46"/>
      <x:c r="O19" s="14" t="str">
        <x:v>IMPOSTO/GRIS</x:v>
      </x:c>
      <x:c r="P19" s="14" t="str">
        <x:v>D+2</x:v>
      </x:c>
      <x:c r="Q19" s="14" t="str">
        <x:v>Seg a Sexta</x:v>
      </x:c>
      <x:c r="R19" s="14" t="str">
        <x:v>ORIGINAL</x:v>
      </x:c>
      <x:c r="S19" s="14" t="str">
        <x:v>NÃO</x:v>
      </x:c>
      <x:c r="T19" s="14" t="str">
        <x:v>REVISAR_OK</x:v>
      </x:c>
      <x:c r="U19" s="14" t="str">
        <x:v>doc20621320260704143240.pdf</x:v>
      </x:c>
      <x:c r="V19" s="14" t="str">
        <x:v>1</x:v>
      </x:c>
      <x:c r="W19" s="14"/>
      <x:c r="X19"/>
      <x:c r="Y19"/>
      <x:c r="Z19" t="str">
        <x:v>NÃO</x:v>
      </x:c>
      <x:c r="AA19" t="n">
        <x:v>0</x:v>
      </x:c>
      <x:c r="AB19"/>
      <x:c r="AC19" t="str">
        <x:v>SIM</x:v>
      </x:c>
      <x:c r="AD19" t="str">
        <x:v>JSP</x:v>
      </x:c>
      <x:c r="AE19" s="12" t="str">
        <x:v>PERCENTUAL</x:v>
      </x:c>
      <x:c r="AF19" s="12" t="str">
        <x:v>CTE</x:v>
      </x:c>
      <x:c r="AG19" s="12" t="str">
        <x:v>2.6.46</x:v>
      </x:c>
      <x:c r="AH19" s="12" t="str">
        <x:v>Pedágio JSP informado como 0,00 por CT-e na fonte.</x:v>
      </x:c>
      <x:c r="AI19"/>
    </x:row>
    <x:row r="20">
      <x:c r="A20" s="14" t="str">
        <x:v>JSP_0019</x:v>
      </x:c>
      <x:c r="B20" s="14" t="str">
        <x:v>JSP</x:v>
      </x:c>
      <x:c r="C20" s="14"/>
      <x:c r="D20" s="14"/>
      <x:c r="E20" s="14" t="str">
        <x:v>Marabá</x:v>
      </x:c>
      <x:c r="F20" s="14" t="str">
        <x:v>PA</x:v>
      </x:c>
      <x:c r="G20" s="14" t="str">
        <x:v>Anapu</x:v>
      </x:c>
      <x:c r="H20" s="14" t="str">
        <x:v>PA</x:v>
      </x:c>
      <x:c r="I20" s="14" t="str">
        <x:v>REGIÃO XINGU</x:v>
      </x:c>
      <x:c r="J20" s="14"/>
      <x:c r="K20" s="14" t="str">
        <x:v>30%</x:v>
      </x:c>
      <x:c r="L20" s="46" t="n">
        <x:v>50</x:v>
      </x:c>
      <x:c r="M20" s="46" t="str">
        <x:v>0,00 (CT-e)</x:v>
      </x:c>
      <x:c r="N20" s="46"/>
      <x:c r="O20" s="14" t="str">
        <x:v>IMPOSTO/GRIS</x:v>
      </x:c>
      <x:c r="P20" s="14" t="str">
        <x:v>D+2</x:v>
      </x:c>
      <x:c r="Q20" s="14" t="str">
        <x:v>Seg a Sexta</x:v>
      </x:c>
      <x:c r="R20" s="14" t="str">
        <x:v>ORIGINAL</x:v>
      </x:c>
      <x:c r="S20" s="14" t="str">
        <x:v>NÃO</x:v>
      </x:c>
      <x:c r="T20" s="14" t="str">
        <x:v>REVISAR_OK</x:v>
      </x:c>
      <x:c r="U20" s="14" t="str">
        <x:v>doc20621320260704143240.pdf</x:v>
      </x:c>
      <x:c r="V20" s="14" t="str">
        <x:v>1</x:v>
      </x:c>
      <x:c r="W20" s="14"/>
      <x:c r="X20"/>
      <x:c r="Y20"/>
      <x:c r="Z20" t="str">
        <x:v>NÃO</x:v>
      </x:c>
      <x:c r="AA20" t="n">
        <x:v>0</x:v>
      </x:c>
      <x:c r="AB20"/>
      <x:c r="AC20" t="str">
        <x:v>SIM</x:v>
      </x:c>
      <x:c r="AD20" t="str">
        <x:v>JSP</x:v>
      </x:c>
      <x:c r="AE20" s="12" t="str">
        <x:v>PERCENTUAL</x:v>
      </x:c>
      <x:c r="AF20" s="12" t="str">
        <x:v>CTE</x:v>
      </x:c>
      <x:c r="AG20" s="12" t="str">
        <x:v>2.6.46</x:v>
      </x:c>
      <x:c r="AH20" s="12" t="str">
        <x:v>Pedágio JSP informado como 0,00 por CT-e na fonte.</x:v>
      </x:c>
      <x:c r="AI20"/>
    </x:row>
    <x:row r="21">
      <x:c r="A21" s="14" t="str">
        <x:v>JSP_0020</x:v>
      </x:c>
      <x:c r="B21" s="14" t="str">
        <x:v>JSP</x:v>
      </x:c>
      <x:c r="C21" s="14"/>
      <x:c r="D21" s="14"/>
      <x:c r="E21" s="14" t="str">
        <x:v>Marabá</x:v>
      </x:c>
      <x:c r="F21" s="14" t="str">
        <x:v>PA</x:v>
      </x:c>
      <x:c r="G21" s="14" t="str">
        <x:v>Pacajá</x:v>
      </x:c>
      <x:c r="H21" s="14" t="str">
        <x:v>PA</x:v>
      </x:c>
      <x:c r="I21" s="14" t="str">
        <x:v>REGIÃO XINGU</x:v>
      </x:c>
      <x:c r="J21" s="14"/>
      <x:c r="K21" s="14" t="str">
        <x:v>30%</x:v>
      </x:c>
      <x:c r="L21" s="46" t="n">
        <x:v>50</x:v>
      </x:c>
      <x:c r="M21" s="46" t="str">
        <x:v>0,00 (CT-e)</x:v>
      </x:c>
      <x:c r="N21" s="46"/>
      <x:c r="O21" s="14" t="str">
        <x:v>IMPOSTO/GRIS</x:v>
      </x:c>
      <x:c r="P21" s="14" t="str">
        <x:v>D+2</x:v>
      </x:c>
      <x:c r="Q21" s="14" t="str">
        <x:v>Seg a Sexta</x:v>
      </x:c>
      <x:c r="R21" s="14" t="str">
        <x:v>ORIGINAL</x:v>
      </x:c>
      <x:c r="S21" s="14" t="str">
        <x:v>NÃO</x:v>
      </x:c>
      <x:c r="T21" s="14" t="str">
        <x:v>REVISAR_OK</x:v>
      </x:c>
      <x:c r="U21" s="14" t="str">
        <x:v>doc20621320260704143240.pdf</x:v>
      </x:c>
      <x:c r="V21" s="14" t="str">
        <x:v>1</x:v>
      </x:c>
      <x:c r="W21" s="14"/>
      <x:c r="X21"/>
      <x:c r="Y21"/>
      <x:c r="Z21" t="str">
        <x:v>NÃO</x:v>
      </x:c>
      <x:c r="AA21" t="n">
        <x:v>0</x:v>
      </x:c>
      <x:c r="AB21"/>
      <x:c r="AC21" t="str">
        <x:v>SIM</x:v>
      </x:c>
      <x:c r="AD21" t="str">
        <x:v>JSP</x:v>
      </x:c>
      <x:c r="AE21" s="12" t="str">
        <x:v>PERCENTUAL</x:v>
      </x:c>
      <x:c r="AF21" s="12" t="str">
        <x:v>CTE</x:v>
      </x:c>
      <x:c r="AG21" s="12" t="str">
        <x:v>2.6.46</x:v>
      </x:c>
      <x:c r="AH21" s="12" t="str">
        <x:v>Pedágio JSP informado como 0,00 por CT-e na fonte.</x:v>
      </x:c>
      <x:c r="AI21"/>
    </x:row>
    <x:row r="22">
      <x:c r="A22" s="14" t="str">
        <x:v>JSP_0021</x:v>
      </x:c>
      <x:c r="B22" s="14" t="str">
        <x:v>JSP</x:v>
      </x:c>
      <x:c r="C22" s="14"/>
      <x:c r="D22" s="14"/>
      <x:c r="E22" s="14" t="str">
        <x:v>Marabá</x:v>
      </x:c>
      <x:c r="F22" s="14" t="str">
        <x:v>PA</x:v>
      </x:c>
      <x:c r="G22" s="14" t="str">
        <x:v>Brasil Novo</x:v>
      </x:c>
      <x:c r="H22" s="14" t="str">
        <x:v>PA</x:v>
      </x:c>
      <x:c r="I22" s="14" t="str">
        <x:v>REGIÃO XINGU</x:v>
      </x:c>
      <x:c r="J22" s="14"/>
      <x:c r="K22" s="14" t="str">
        <x:v>35%</x:v>
      </x:c>
      <x:c r="L22" s="46" t="n">
        <x:v>70</x:v>
      </x:c>
      <x:c r="M22" s="46" t="str">
        <x:v>0,00 (CT-e)</x:v>
      </x:c>
      <x:c r="N22" s="46"/>
      <x:c r="O22" s="14" t="str">
        <x:v>IMPOSTO/GRIS</x:v>
      </x:c>
      <x:c r="P22" s="14" t="str">
        <x:v>D+3</x:v>
      </x:c>
      <x:c r="Q22" s="14" t="str">
        <x:v>Seg a Sexta</x:v>
      </x:c>
      <x:c r="R22" s="14" t="str">
        <x:v>ORIGINAL</x:v>
      </x:c>
      <x:c r="S22" s="14" t="str">
        <x:v>NÃO</x:v>
      </x:c>
      <x:c r="T22" s="14" t="str">
        <x:v>REVISAR_OK</x:v>
      </x:c>
      <x:c r="U22" s="14" t="str">
        <x:v>doc20621320260704143240.pdf</x:v>
      </x:c>
      <x:c r="V22" s="14" t="str">
        <x:v>1</x:v>
      </x:c>
      <x:c r="W22" s="14"/>
      <x:c r="X22"/>
      <x:c r="Y22"/>
      <x:c r="Z22" t="str">
        <x:v>NÃO</x:v>
      </x:c>
      <x:c r="AA22" t="n">
        <x:v>0</x:v>
      </x:c>
      <x:c r="AB22"/>
      <x:c r="AC22" t="str">
        <x:v>SIM</x:v>
      </x:c>
      <x:c r="AD22" t="str">
        <x:v>JSP</x:v>
      </x:c>
      <x:c r="AE22" s="12" t="str">
        <x:v>PERCENTUAL</x:v>
      </x:c>
      <x:c r="AF22" s="12" t="str">
        <x:v>CTE</x:v>
      </x:c>
      <x:c r="AG22" s="12" t="str">
        <x:v>2.6.46</x:v>
      </x:c>
      <x:c r="AH22" s="12" t="str">
        <x:v>Pedágio JSP informado como 0,00 por CT-e na fonte.</x:v>
      </x:c>
      <x:c r="AI22"/>
    </x:row>
    <x:row r="23">
      <x:c r="A23" s="14" t="str">
        <x:v>JSP_0022</x:v>
      </x:c>
      <x:c r="B23" s="14" t="str">
        <x:v>JSP</x:v>
      </x:c>
      <x:c r="C23" s="14"/>
      <x:c r="D23" s="14"/>
      <x:c r="E23" s="14" t="str">
        <x:v>Marabá</x:v>
      </x:c>
      <x:c r="F23" s="14" t="str">
        <x:v>PA</x:v>
      </x:c>
      <x:c r="G23" s="14" t="str">
        <x:v>Medicilândia</x:v>
      </x:c>
      <x:c r="H23" s="14" t="str">
        <x:v>PA</x:v>
      </x:c>
      <x:c r="I23" s="14" t="str">
        <x:v>REGIÃO XINGU</x:v>
      </x:c>
      <x:c r="J23" s="14"/>
      <x:c r="K23" s="14" t="str">
        <x:v>35%</x:v>
      </x:c>
      <x:c r="L23" s="46" t="n">
        <x:v>70</x:v>
      </x:c>
      <x:c r="M23" s="46" t="str">
        <x:v>0,00 (CT-e)</x:v>
      </x:c>
      <x:c r="N23" s="46"/>
      <x:c r="O23" s="14" t="str">
        <x:v>IMPOSTO/GRIS</x:v>
      </x:c>
      <x:c r="P23" s="14" t="str">
        <x:v>D+3</x:v>
      </x:c>
      <x:c r="Q23" s="14" t="str">
        <x:v>Seg a Sexta</x:v>
      </x:c>
      <x:c r="R23" s="14" t="str">
        <x:v>ORIGINAL</x:v>
      </x:c>
      <x:c r="S23" s="14" t="str">
        <x:v>NÃO</x:v>
      </x:c>
      <x:c r="T23" s="14" t="str">
        <x:v>REVISAR_OK</x:v>
      </x:c>
      <x:c r="U23" s="14" t="str">
        <x:v>doc20621320260704143240.pdf</x:v>
      </x:c>
      <x:c r="V23" s="14" t="str">
        <x:v>1</x:v>
      </x:c>
      <x:c r="W23" s="14"/>
      <x:c r="X23"/>
      <x:c r="Y23"/>
      <x:c r="Z23" t="str">
        <x:v>NÃO</x:v>
      </x:c>
      <x:c r="AA23" t="n">
        <x:v>0</x:v>
      </x:c>
      <x:c r="AB23"/>
      <x:c r="AC23" t="str">
        <x:v>SIM</x:v>
      </x:c>
      <x:c r="AD23" t="str">
        <x:v>JSP</x:v>
      </x:c>
      <x:c r="AE23" s="12" t="str">
        <x:v>PERCENTUAL</x:v>
      </x:c>
      <x:c r="AF23" s="12" t="str">
        <x:v>CTE</x:v>
      </x:c>
      <x:c r="AG23" s="12" t="str">
        <x:v>2.6.46</x:v>
      </x:c>
      <x:c r="AH23" s="12" t="str">
        <x:v>Pedágio JSP informado como 0,00 por CT-e na fonte.</x:v>
      </x:c>
      <x:c r="AI23"/>
    </x:row>
    <x:row r="24">
      <x:c r="A24" s="14" t="str">
        <x:v>JSP_0023</x:v>
      </x:c>
      <x:c r="B24" s="14" t="str">
        <x:v>JSP</x:v>
      </x:c>
      <x:c r="C24" s="14"/>
      <x:c r="D24" s="14"/>
      <x:c r="E24" s="14" t="str">
        <x:v>Marabá</x:v>
      </x:c>
      <x:c r="F24" s="14" t="str">
        <x:v>PA</x:v>
      </x:c>
      <x:c r="G24" s="14" t="str">
        <x:v>Uruará</x:v>
      </x:c>
      <x:c r="H24" s="14" t="str">
        <x:v>PA</x:v>
      </x:c>
      <x:c r="I24" s="14" t="str">
        <x:v>REGIÃO XINGU</x:v>
      </x:c>
      <x:c r="J24" s="14"/>
      <x:c r="K24" s="14" t="str">
        <x:v>35%</x:v>
      </x:c>
      <x:c r="L24" s="46" t="n">
        <x:v>70</x:v>
      </x:c>
      <x:c r="M24" s="46" t="str">
        <x:v>0,00 (CT-e)</x:v>
      </x:c>
      <x:c r="N24" s="46"/>
      <x:c r="O24" s="14" t="str">
        <x:v>IMPOSTO/GRIS</x:v>
      </x:c>
      <x:c r="P24" s="14" t="str">
        <x:v>D+3</x:v>
      </x:c>
      <x:c r="Q24" s="14" t="str">
        <x:v>Seg a Sexta</x:v>
      </x:c>
      <x:c r="R24" s="14" t="str">
        <x:v>ORIGINAL</x:v>
      </x:c>
      <x:c r="S24" s="14" t="str">
        <x:v>NÃO</x:v>
      </x:c>
      <x:c r="T24" s="14" t="str">
        <x:v>REVISAR_OK</x:v>
      </x:c>
      <x:c r="U24" s="14" t="str">
        <x:v>doc20621320260704143240.pdf</x:v>
      </x:c>
      <x:c r="V24" s="14" t="str">
        <x:v>1</x:v>
      </x:c>
      <x:c r="W24" s="14"/>
      <x:c r="X24"/>
      <x:c r="Y24"/>
      <x:c r="Z24" t="str">
        <x:v>NÃO</x:v>
      </x:c>
      <x:c r="AA24" t="n">
        <x:v>0</x:v>
      </x:c>
      <x:c r="AB24"/>
      <x:c r="AC24" t="str">
        <x:v>SIM</x:v>
      </x:c>
      <x:c r="AD24" t="str">
        <x:v>JSP</x:v>
      </x:c>
      <x:c r="AE24" s="12" t="str">
        <x:v>PERCENTUAL</x:v>
      </x:c>
      <x:c r="AF24" s="12" t="str">
        <x:v>CTE</x:v>
      </x:c>
      <x:c r="AG24" s="12" t="str">
        <x:v>2.6.46</x:v>
      </x:c>
      <x:c r="AH24" s="12" t="str">
        <x:v>Pedágio JSP informado como 0,00 por CT-e na fonte.</x:v>
      </x:c>
      <x:c r="AI24"/>
    </x:row>
    <x:row r="25">
      <x:c r="A25" s="14" t="str">
        <x:v>JSP_0024</x:v>
      </x:c>
      <x:c r="B25" s="14" t="str">
        <x:v>JSP</x:v>
      </x:c>
      <x:c r="C25" s="14"/>
      <x:c r="D25" s="14"/>
      <x:c r="E25" s="14" t="str">
        <x:v>Marabá</x:v>
      </x:c>
      <x:c r="F25" s="14" t="str">
        <x:v>PA</x:v>
      </x:c>
      <x:c r="G25" s="14" t="str">
        <x:v>Canaã dos Carajás</x:v>
      </x:c>
      <x:c r="H25" s="14" t="str">
        <x:v>PA</x:v>
      </x:c>
      <x:c r="I25" s="14" t="str">
        <x:v>REGIÃO CARAJÁS</x:v>
      </x:c>
      <x:c r="J25" s="14"/>
      <x:c r="K25" s="14" t="str">
        <x:v>25%</x:v>
      </x:c>
      <x:c r="L25" s="46" t="n">
        <x:v>50</x:v>
      </x:c>
      <x:c r="M25" s="46" t="str">
        <x:v>0,00 (CT-e)</x:v>
      </x:c>
      <x:c r="N25" s="46"/>
      <x:c r="O25" s="14" t="str">
        <x:v>IMPOSTO/GRIS</x:v>
      </x:c>
      <x:c r="P25" s="14" t="str">
        <x:v>D+2</x:v>
      </x:c>
      <x:c r="Q25" s="14" t="str">
        <x:v>Seg a Sexta</x:v>
      </x:c>
      <x:c r="R25" s="14" t="str">
        <x:v>ORIGINAL</x:v>
      </x:c>
      <x:c r="S25" s="14" t="str">
        <x:v>NÃO</x:v>
      </x:c>
      <x:c r="T25" s="14" t="str">
        <x:v>REVISAR_OK</x:v>
      </x:c>
      <x:c r="U25" s="14" t="str">
        <x:v>doc20621320260704143240.pdf</x:v>
      </x:c>
      <x:c r="V25" s="14" t="str">
        <x:v>1</x:v>
      </x:c>
      <x:c r="W25" s="14"/>
      <x:c r="X25"/>
      <x:c r="Y25"/>
      <x:c r="Z25" t="str">
        <x:v>NÃO</x:v>
      </x:c>
      <x:c r="AA25" t="n">
        <x:v>0</x:v>
      </x:c>
      <x:c r="AB25"/>
      <x:c r="AC25" t="str">
        <x:v>SIM</x:v>
      </x:c>
      <x:c r="AD25" t="str">
        <x:v>JSP</x:v>
      </x:c>
      <x:c r="AE25" s="12" t="str">
        <x:v>PERCENTUAL</x:v>
      </x:c>
      <x:c r="AF25" s="12" t="str">
        <x:v>CTE</x:v>
      </x:c>
      <x:c r="AG25" s="12" t="str">
        <x:v>2.6.46</x:v>
      </x:c>
      <x:c r="AH25" s="12" t="str">
        <x:v>Pedágio JSP informado como 0,00 por CT-e na fonte.</x:v>
      </x:c>
      <x:c r="AI25"/>
    </x:row>
    <x:row r="26">
      <x:c r="A26" s="14" t="str">
        <x:v>JSP_0025</x:v>
      </x:c>
      <x:c r="B26" s="14" t="str">
        <x:v>JSP</x:v>
      </x:c>
      <x:c r="C26" s="14"/>
      <x:c r="D26" s="14"/>
      <x:c r="E26" s="14" t="str">
        <x:v>Marabá</x:v>
      </x:c>
      <x:c r="F26" s="14" t="str">
        <x:v>PA</x:v>
      </x:c>
      <x:c r="G26" s="14" t="str">
        <x:v>Curionópolis</x:v>
      </x:c>
      <x:c r="H26" s="14" t="str">
        <x:v>PA</x:v>
      </x:c>
      <x:c r="I26" s="14" t="str">
        <x:v>REGIÃO CARAJÁS</x:v>
      </x:c>
      <x:c r="J26" s="14"/>
      <x:c r="K26" s="14" t="str">
        <x:v>25%</x:v>
      </x:c>
      <x:c r="L26" s="46" t="n">
        <x:v>50</x:v>
      </x:c>
      <x:c r="M26" s="46" t="str">
        <x:v>0,00 (CT-e)</x:v>
      </x:c>
      <x:c r="N26" s="46"/>
      <x:c r="O26" s="14" t="str">
        <x:v>IMPOSTO/GRIS</x:v>
      </x:c>
      <x:c r="P26" s="14" t="str">
        <x:v>D+2</x:v>
      </x:c>
      <x:c r="Q26" s="14" t="str">
        <x:v>Seg a Sexta</x:v>
      </x:c>
      <x:c r="R26" s="14" t="str">
        <x:v>ORIGINAL</x:v>
      </x:c>
      <x:c r="S26" s="14" t="str">
        <x:v>NÃO</x:v>
      </x:c>
      <x:c r="T26" s="14" t="str">
        <x:v>REVISAR_OK</x:v>
      </x:c>
      <x:c r="U26" s="14" t="str">
        <x:v>doc20621320260704143240.pdf</x:v>
      </x:c>
      <x:c r="V26" s="14" t="str">
        <x:v>1</x:v>
      </x:c>
      <x:c r="W26" s="14"/>
      <x:c r="X26"/>
      <x:c r="Y26"/>
      <x:c r="Z26" t="str">
        <x:v>NÃO</x:v>
      </x:c>
      <x:c r="AA26" t="n">
        <x:v>0</x:v>
      </x:c>
      <x:c r="AB26"/>
      <x:c r="AC26" t="str">
        <x:v>SIM</x:v>
      </x:c>
      <x:c r="AD26" t="str">
        <x:v>JSP</x:v>
      </x:c>
      <x:c r="AE26" s="12" t="str">
        <x:v>PERCENTUAL</x:v>
      </x:c>
      <x:c r="AF26" s="12" t="str">
        <x:v>CTE</x:v>
      </x:c>
      <x:c r="AG26" s="12" t="str">
        <x:v>2.6.46</x:v>
      </x:c>
      <x:c r="AH26" s="12" t="str">
        <x:v>Pedágio JSP informado como 0,00 por CT-e na fonte.</x:v>
      </x:c>
      <x:c r="AI26"/>
    </x:row>
    <x:row r="27">
      <x:c r="A27" s="14" t="str">
        <x:v>JSP_0026</x:v>
      </x:c>
      <x:c r="B27" s="14" t="str">
        <x:v>JSP</x:v>
      </x:c>
      <x:c r="C27" s="14"/>
      <x:c r="D27" s="14"/>
      <x:c r="E27" s="14" t="str">
        <x:v>Marabá</x:v>
      </x:c>
      <x:c r="F27" s="14" t="str">
        <x:v>PA</x:v>
      </x:c>
      <x:c r="G27" s="14" t="str">
        <x:v>Eldorado dos Carajás</x:v>
      </x:c>
      <x:c r="H27" s="14" t="str">
        <x:v>PA</x:v>
      </x:c>
      <x:c r="I27" s="14" t="str">
        <x:v>REGIÃO CARAJÁS</x:v>
      </x:c>
      <x:c r="J27" s="14"/>
      <x:c r="K27" s="14" t="str">
        <x:v>25%</x:v>
      </x:c>
      <x:c r="L27" s="46" t="n">
        <x:v>50</x:v>
      </x:c>
      <x:c r="M27" s="46" t="str">
        <x:v>0,00 (CT-e)</x:v>
      </x:c>
      <x:c r="N27" s="46"/>
      <x:c r="O27" s="14" t="str">
        <x:v>IMPOSTO/GRIS</x:v>
      </x:c>
      <x:c r="P27" s="14" t="str">
        <x:v>D+2</x:v>
      </x:c>
      <x:c r="Q27" s="14" t="str">
        <x:v>Seg a Sexta</x:v>
      </x:c>
      <x:c r="R27" s="14" t="str">
        <x:v>ORIGINAL</x:v>
      </x:c>
      <x:c r="S27" s="14" t="str">
        <x:v>NÃO</x:v>
      </x:c>
      <x:c r="T27" s="14" t="str">
        <x:v>REVISAR_OK</x:v>
      </x:c>
      <x:c r="U27" s="14" t="str">
        <x:v>doc20621320260704143240.pdf</x:v>
      </x:c>
      <x:c r="V27" s="14" t="str">
        <x:v>1</x:v>
      </x:c>
      <x:c r="W27" s="14"/>
      <x:c r="X27"/>
      <x:c r="Y27"/>
      <x:c r="Z27" t="str">
        <x:v>NÃO</x:v>
      </x:c>
      <x:c r="AA27" t="n">
        <x:v>0</x:v>
      </x:c>
      <x:c r="AB27"/>
      <x:c r="AC27" t="str">
        <x:v>SIM</x:v>
      </x:c>
      <x:c r="AD27" t="str">
        <x:v>JSP</x:v>
      </x:c>
      <x:c r="AE27" s="12" t="str">
        <x:v>PERCENTUAL</x:v>
      </x:c>
      <x:c r="AF27" s="12" t="str">
        <x:v>CTE</x:v>
      </x:c>
      <x:c r="AG27" s="12" t="str">
        <x:v>2.6.46</x:v>
      </x:c>
      <x:c r="AH27" s="12" t="str">
        <x:v>Pedágio JSP informado como 0,00 por CT-e na fonte.</x:v>
      </x:c>
      <x:c r="AI27"/>
    </x:row>
    <x:row r="28">
      <x:c r="A28" s="14" t="str">
        <x:v>JSP_0027</x:v>
      </x:c>
      <x:c r="B28" s="14" t="str">
        <x:v>JSP</x:v>
      </x:c>
      <x:c r="C28" s="14"/>
      <x:c r="D28" s="14"/>
      <x:c r="E28" s="14" t="str">
        <x:v>Marabá</x:v>
      </x:c>
      <x:c r="F28" s="14" t="str">
        <x:v>PA</x:v>
      </x:c>
      <x:c r="G28" s="14" t="str">
        <x:v>Parauapebas</x:v>
      </x:c>
      <x:c r="H28" s="14" t="str">
        <x:v>PA</x:v>
      </x:c>
      <x:c r="I28" s="14" t="str">
        <x:v>REGIÃO CARAJÁS</x:v>
      </x:c>
      <x:c r="J28" s="14"/>
      <x:c r="K28" s="14" t="str">
        <x:v>25%</x:v>
      </x:c>
      <x:c r="L28" s="46" t="n">
        <x:v>50</x:v>
      </x:c>
      <x:c r="M28" s="46" t="str">
        <x:v>0,00 (CT-e)</x:v>
      </x:c>
      <x:c r="N28" s="46"/>
      <x:c r="O28" s="14" t="str">
        <x:v>IMPOSTO/GRIS</x:v>
      </x:c>
      <x:c r="P28" s="14" t="str">
        <x:v>D+2</x:v>
      </x:c>
      <x:c r="Q28" s="14" t="str">
        <x:v>Seg a Sexta</x:v>
      </x:c>
      <x:c r="R28" s="14" t="str">
        <x:v>ORIGINAL</x:v>
      </x:c>
      <x:c r="S28" s="14" t="str">
        <x:v>NÃO</x:v>
      </x:c>
      <x:c r="T28" s="14" t="str">
        <x:v>REVISAR_OK</x:v>
      </x:c>
      <x:c r="U28" s="14" t="str">
        <x:v>doc20621320260704143240.pdf</x:v>
      </x:c>
      <x:c r="V28" s="14" t="str">
        <x:v>1</x:v>
      </x:c>
      <x:c r="W28" s="14"/>
      <x:c r="X28"/>
      <x:c r="Y28"/>
      <x:c r="Z28" t="str">
        <x:v>NÃO</x:v>
      </x:c>
      <x:c r="AA28" t="n">
        <x:v>0</x:v>
      </x:c>
      <x:c r="AB28"/>
      <x:c r="AC28" t="str">
        <x:v>SIM</x:v>
      </x:c>
      <x:c r="AD28" t="str">
        <x:v>JSP</x:v>
      </x:c>
      <x:c r="AE28" s="12" t="str">
        <x:v>PERCENTUAL</x:v>
      </x:c>
      <x:c r="AF28" s="12" t="str">
        <x:v>CTE</x:v>
      </x:c>
      <x:c r="AG28" s="12" t="str">
        <x:v>2.7.0 RC18</x:v>
      </x:c>
      <x:c r="AH28" s="12" t="str">
        <x:v>RC18: Parauapebas conforme TABELA JSP oficial: pedágio R$ 0,00 por CT-e. Removida a exceção RC12 baseada no CT-e 579882. Componentes opcionais só entram no esperado quando efetivamente cobrados no XML.</x:v>
      </x:c>
      <x:c r="AI28"/>
    </x:row>
    <x:row r="29">
      <x:c r="A29" s="14" t="str">
        <x:v>JSP_0028</x:v>
      </x:c>
      <x:c r="B29" s="14" t="str">
        <x:v>JSP</x:v>
      </x:c>
      <x:c r="C29" s="14"/>
      <x:c r="D29" s="14"/>
      <x:c r="E29" s="14" t="str">
        <x:v>Marabá</x:v>
      </x:c>
      <x:c r="F29" s="14" t="str">
        <x:v>PA</x:v>
      </x:c>
      <x:c r="G29" s="14" t="str">
        <x:v>Concórdia do Pará</x:v>
      </x:c>
      <x:c r="H29" s="14" t="str">
        <x:v>PA</x:v>
      </x:c>
      <x:c r="I29" s="14" t="str">
        <x:v>REGIÃO RIO CAPIM</x:v>
      </x:c>
      <x:c r="J29" s="14"/>
      <x:c r="K29" s="14" t="str">
        <x:v>30%</x:v>
      </x:c>
      <x:c r="L29" s="46" t="n">
        <x:v>50</x:v>
      </x:c>
      <x:c r="M29" s="46" t="str">
        <x:v>2,05 (CT-e)</x:v>
      </x:c>
      <x:c r="N29" s="46"/>
      <x:c r="O29" s="14" t="str">
        <x:v>IMPOSTO/GRIS</x:v>
      </x:c>
      <x:c r="P29" s="14" t="str">
        <x:v>D+1</x:v>
      </x:c>
      <x:c r="Q29" s="14" t="str">
        <x:v>Seg a Sexta</x:v>
      </x:c>
      <x:c r="R29" s="14" t="str">
        <x:v>ORIGINAL</x:v>
      </x:c>
      <x:c r="S29" s="14" t="str">
        <x:v>NÃO</x:v>
      </x:c>
      <x:c r="T29" s="14" t="str">
        <x:v>REVISAR_OK</x:v>
      </x:c>
      <x:c r="U29" s="14" t="str">
        <x:v>doc20621320260704143240.pdf</x:v>
      </x:c>
      <x:c r="V29" s="14" t="str">
        <x:v>1</x:v>
      </x:c>
      <x:c r="W29" s="14" t="str">
        <x:v>Contando dia de saída</x:v>
      </x:c>
      <x:c r="X29"/>
      <x:c r="Y29"/>
      <x:c r="Z29" t="str">
        <x:v>SIM</x:v>
      </x:c>
      <x:c r="AA29" t="n">
        <x:v>2.05</x:v>
      </x:c>
      <x:c r="AB29"/>
      <x:c r="AC29" t="str">
        <x:v>SIM</x:v>
      </x:c>
      <x:c r="AD29" t="str">
        <x:v>JSP</x:v>
      </x:c>
      <x:c r="AE29" s="12" t="str">
        <x:v>PERCENTUAL</x:v>
      </x:c>
      <x:c r="AF29" s="12" t="str">
        <x:v>CTE</x:v>
      </x:c>
      <x:c r="AG29" s="12" t="str">
        <x:v>2.6.46</x:v>
      </x:c>
      <x:c r="AH29" s="12" t="str">
        <x:v>Pedágio JSP por CT-e conforme fonte; controle visual passivo.</x:v>
      </x:c>
      <x:c r="AI29"/>
    </x:row>
    <x:row r="30">
      <x:c r="A30" s="14" t="str">
        <x:v>JSP_0029</x:v>
      </x:c>
      <x:c r="B30" s="14" t="str">
        <x:v>JSP</x:v>
      </x:c>
      <x:c r="C30" s="14"/>
      <x:c r="D30" s="14"/>
      <x:c r="E30" s="14" t="str">
        <x:v>Marabá</x:v>
      </x:c>
      <x:c r="F30" s="14" t="str">
        <x:v>PA</x:v>
      </x:c>
      <x:c r="G30" s="14" t="str">
        <x:v>Tomé Açu</x:v>
      </x:c>
      <x:c r="H30" s="14" t="str">
        <x:v>PA</x:v>
      </x:c>
      <x:c r="I30" s="14" t="str">
        <x:v>REGIÃO RIO CAPIM</x:v>
      </x:c>
      <x:c r="J30" s="14"/>
      <x:c r="K30" s="14" t="str">
        <x:v>30%</x:v>
      </x:c>
      <x:c r="L30" s="46" t="n">
        <x:v>50</x:v>
      </x:c>
      <x:c r="M30" s="46" t="str">
        <x:v>2,05 (CT-e)</x:v>
      </x:c>
      <x:c r="N30" s="46"/>
      <x:c r="O30" s="14" t="str">
        <x:v>IMPOSTO/GRIS</x:v>
      </x:c>
      <x:c r="P30" s="14" t="str">
        <x:v>D+1</x:v>
      </x:c>
      <x:c r="Q30" s="14" t="str">
        <x:v>Seg a Sexta</x:v>
      </x:c>
      <x:c r="R30" s="14" t="str">
        <x:v>ORIGINAL</x:v>
      </x:c>
      <x:c r="S30" s="14" t="str">
        <x:v>NÃO</x:v>
      </x:c>
      <x:c r="T30" s="14" t="str">
        <x:v>REVISAR_OK</x:v>
      </x:c>
      <x:c r="U30" s="14" t="str">
        <x:v>doc20621320260704143240.pdf</x:v>
      </x:c>
      <x:c r="V30" s="14" t="str">
        <x:v>1</x:v>
      </x:c>
      <x:c r="W30" s="14" t="str">
        <x:v>Contando dia de saída</x:v>
      </x:c>
      <x:c r="X30"/>
      <x:c r="Y30"/>
      <x:c r="Z30" t="str">
        <x:v>SIM</x:v>
      </x:c>
      <x:c r="AA30" t="n">
        <x:v>2.05</x:v>
      </x:c>
      <x:c r="AB30"/>
      <x:c r="AC30" t="str">
        <x:v>SIM</x:v>
      </x:c>
      <x:c r="AD30" t="str">
        <x:v>JSP</x:v>
      </x:c>
      <x:c r="AE30" s="12" t="str">
        <x:v>PERCENTUAL</x:v>
      </x:c>
      <x:c r="AF30" s="12" t="str">
        <x:v>CTE</x:v>
      </x:c>
      <x:c r="AG30" s="12" t="str">
        <x:v>2.6.46</x:v>
      </x:c>
      <x:c r="AH30" s="12" t="str">
        <x:v>Pedágio JSP por CT-e conforme fonte; controle visual passivo.</x:v>
      </x:c>
      <x:c r="AI30"/>
    </x:row>
    <x:row r="31">
      <x:c r="A31" s="14" t="str">
        <x:v>JSP_0030</x:v>
      </x:c>
      <x:c r="B31" s="14" t="str">
        <x:v>JSP</x:v>
      </x:c>
      <x:c r="C31" s="14"/>
      <x:c r="D31" s="14"/>
      <x:c r="E31" s="14" t="str">
        <x:v>Marabá</x:v>
      </x:c>
      <x:c r="F31" s="14" t="str">
        <x:v>PA</x:v>
      </x:c>
      <x:c r="G31" s="14" t="str">
        <x:v>Bujaru</x:v>
      </x:c>
      <x:c r="H31" s="14" t="str">
        <x:v>PA</x:v>
      </x:c>
      <x:c r="I31" s="14" t="str">
        <x:v>REGIÃO RIO CAPIM</x:v>
      </x:c>
      <x:c r="J31" s="14"/>
      <x:c r="K31" s="14" t="str">
        <x:v>30%</x:v>
      </x:c>
      <x:c r="L31" s="46" t="n">
        <x:v>50</x:v>
      </x:c>
      <x:c r="M31" s="46" t="str">
        <x:v>2,05 (CT-e)</x:v>
      </x:c>
      <x:c r="N31" s="46"/>
      <x:c r="O31" s="14" t="str">
        <x:v>IMPOSTO/GRIS</x:v>
      </x:c>
      <x:c r="P31" s="14" t="str">
        <x:v>D+1</x:v>
      </x:c>
      <x:c r="Q31" s="14" t="str">
        <x:v>Seg a Sexta</x:v>
      </x:c>
      <x:c r="R31" s="14" t="str">
        <x:v>ORIGINAL</x:v>
      </x:c>
      <x:c r="S31" s="14" t="str">
        <x:v>NÃO</x:v>
      </x:c>
      <x:c r="T31" s="14" t="str">
        <x:v>REVISAR_OK</x:v>
      </x:c>
      <x:c r="U31" s="14" t="str">
        <x:v>doc20621320260704143240.pdf</x:v>
      </x:c>
      <x:c r="V31" s="14" t="str">
        <x:v>1</x:v>
      </x:c>
      <x:c r="W31" s="14" t="str">
        <x:v>Contando dia de saída</x:v>
      </x:c>
      <x:c r="X31"/>
      <x:c r="Y31"/>
      <x:c r="Z31" t="str">
        <x:v>SIM</x:v>
      </x:c>
      <x:c r="AA31" t="n">
        <x:v>2.05</x:v>
      </x:c>
      <x:c r="AB31"/>
      <x:c r="AC31" t="str">
        <x:v>SIM</x:v>
      </x:c>
      <x:c r="AD31" t="str">
        <x:v>JSP</x:v>
      </x:c>
      <x:c r="AE31" s="12" t="str">
        <x:v>PERCENTUAL</x:v>
      </x:c>
      <x:c r="AF31" s="12" t="str">
        <x:v>CTE</x:v>
      </x:c>
      <x:c r="AG31" s="12" t="str">
        <x:v>2.6.46</x:v>
      </x:c>
      <x:c r="AH31" s="12" t="str">
        <x:v>Pedágio JSP por CT-e conforme fonte; controle visual passivo.</x:v>
      </x:c>
      <x:c r="AI31"/>
    </x:row>
    <x:row r="32">
      <x:c r="A32" s="14" t="str">
        <x:v>JSP_0031</x:v>
      </x:c>
      <x:c r="B32" s="14" t="str">
        <x:v>JSP</x:v>
      </x:c>
      <x:c r="C32" s="14"/>
      <x:c r="D32" s="14"/>
      <x:c r="E32" s="14" t="str">
        <x:v>Marabá</x:v>
      </x:c>
      <x:c r="F32" s="14" t="str">
        <x:v>PA</x:v>
      </x:c>
      <x:c r="G32" s="14" t="str">
        <x:v>Crepurizão (Distrito)</x:v>
      </x:c>
      <x:c r="H32" s="14" t="str">
        <x:v>PA</x:v>
      </x:c>
      <x:c r="I32" s="14" t="str">
        <x:v>REGIÃO TAPAJÓS</x:v>
      </x:c>
      <x:c r="J32" s="14"/>
      <x:c r="K32" s="14" t="str">
        <x:v>45%</x:v>
      </x:c>
      <x:c r="L32" s="46" t="n">
        <x:v>100</x:v>
      </x:c>
      <x:c r="M32" s="46" t="str">
        <x:v>0,00 (CT-e)</x:v>
      </x:c>
      <x:c r="N32" s="46"/>
      <x:c r="O32" s="14" t="str">
        <x:v>IMPOSTO/GRIS</x:v>
      </x:c>
      <x:c r="P32" s="14" t="str">
        <x:v>D+10</x:v>
      </x:c>
      <x:c r="Q32" s="14" t="str">
        <x:v>Seg a Sexta</x:v>
      </x:c>
      <x:c r="R32" s="14" t="str">
        <x:v>ORIGINAL</x:v>
      </x:c>
      <x:c r="S32" s="14" t="str">
        <x:v>NÃO</x:v>
      </x:c>
      <x:c r="T32" s="14" t="str">
        <x:v>REVISAR_OK</x:v>
      </x:c>
      <x:c r="U32" s="14" t="str">
        <x:v>doc20621320260704143240.pdf</x:v>
      </x:c>
      <x:c r="V32" s="14" t="str">
        <x:v>1</x:v>
      </x:c>
      <x:c r="W32" s="14" t="str">
        <x:v>Alguns destinos com via redespacho garimpo/fluvial; revisar</x:v>
      </x:c>
      <x:c r="X32"/>
      <x:c r="Y32"/>
      <x:c r="Z32" t="str">
        <x:v>NÃO</x:v>
      </x:c>
      <x:c r="AA32" t="n">
        <x:v>0</x:v>
      </x:c>
      <x:c r="AB32"/>
      <x:c r="AC32" t="str">
        <x:v>SIM</x:v>
      </x:c>
      <x:c r="AD32" t="str">
        <x:v>JSP</x:v>
      </x:c>
      <x:c r="AE32" s="12" t="str">
        <x:v>PERCENTUAL</x:v>
      </x:c>
      <x:c r="AF32" s="12" t="str">
        <x:v>CTE</x:v>
      </x:c>
      <x:c r="AG32" s="12" t="str">
        <x:v>2.6.46</x:v>
      </x:c>
      <x:c r="AH32" s="12" t="str">
        <x:v>Pedágio JSP informado como 0,00 por CT-e na fonte.</x:v>
      </x:c>
      <x:c r="AI32"/>
    </x:row>
    <x:row r="33">
      <x:c r="A33" s="14" t="str">
        <x:v>JSP_0032</x:v>
      </x:c>
      <x:c r="B33" s="14" t="str">
        <x:v>JSP</x:v>
      </x:c>
      <x:c r="C33" s="14"/>
      <x:c r="D33" s="14"/>
      <x:c r="E33" s="14" t="str">
        <x:v>Marabá</x:v>
      </x:c>
      <x:c r="F33" s="14" t="str">
        <x:v>PA</x:v>
      </x:c>
      <x:c r="G33" s="14" t="str">
        <x:v>Crepurizinho (Distrito)</x:v>
      </x:c>
      <x:c r="H33" s="14" t="str">
        <x:v>PA</x:v>
      </x:c>
      <x:c r="I33" s="14" t="str">
        <x:v>REGIÃO TAPAJÓS</x:v>
      </x:c>
      <x:c r="J33" s="14"/>
      <x:c r="K33" s="14" t="str">
        <x:v>45%</x:v>
      </x:c>
      <x:c r="L33" s="46" t="n">
        <x:v>100</x:v>
      </x:c>
      <x:c r="M33" s="46" t="str">
        <x:v>0,00 (CT-e)</x:v>
      </x:c>
      <x:c r="N33" s="46"/>
      <x:c r="O33" s="14" t="str">
        <x:v>IMPOSTO/GRIS</x:v>
      </x:c>
      <x:c r="P33" s="14" t="str">
        <x:v>D+10</x:v>
      </x:c>
      <x:c r="Q33" s="14" t="str">
        <x:v>Seg a Sexta</x:v>
      </x:c>
      <x:c r="R33" s="14" t="str">
        <x:v>ORIGINAL</x:v>
      </x:c>
      <x:c r="S33" s="14" t="str">
        <x:v>NÃO</x:v>
      </x:c>
      <x:c r="T33" s="14" t="str">
        <x:v>REVISAR_OK</x:v>
      </x:c>
      <x:c r="U33" s="14" t="str">
        <x:v>doc20621320260704143240.pdf</x:v>
      </x:c>
      <x:c r="V33" s="14" t="str">
        <x:v>1</x:v>
      </x:c>
      <x:c r="W33" s="14" t="str">
        <x:v>Alguns destinos com via redespacho garimpo/fluvial; revisar</x:v>
      </x:c>
      <x:c r="X33"/>
      <x:c r="Y33"/>
      <x:c r="Z33" t="str">
        <x:v>NÃO</x:v>
      </x:c>
      <x:c r="AA33" t="n">
        <x:v>0</x:v>
      </x:c>
      <x:c r="AB33"/>
      <x:c r="AC33" t="str">
        <x:v>SIM</x:v>
      </x:c>
      <x:c r="AD33" t="str">
        <x:v>JSP</x:v>
      </x:c>
      <x:c r="AE33" s="12" t="str">
        <x:v>PERCENTUAL</x:v>
      </x:c>
      <x:c r="AF33" s="12" t="str">
        <x:v>CTE</x:v>
      </x:c>
      <x:c r="AG33" s="12" t="str">
        <x:v>2.6.46</x:v>
      </x:c>
      <x:c r="AH33" s="12" t="str">
        <x:v>Pedágio JSP informado como 0,00 por CT-e na fonte.</x:v>
      </x:c>
      <x:c r="AI33"/>
    </x:row>
    <x:row r="34">
      <x:c r="A34" s="14" t="str">
        <x:v>JSP_0033</x:v>
      </x:c>
      <x:c r="B34" s="14" t="str">
        <x:v>JSP</x:v>
      </x:c>
      <x:c r="C34" s="14"/>
      <x:c r="D34" s="14"/>
      <x:c r="E34" s="14" t="str">
        <x:v>Marabá</x:v>
      </x:c>
      <x:c r="F34" s="14" t="str">
        <x:v>PA</x:v>
      </x:c>
      <x:c r="G34" s="14" t="str">
        <x:v>Jacareacanga</x:v>
      </x:c>
      <x:c r="H34" s="14" t="str">
        <x:v>PA</x:v>
      </x:c>
      <x:c r="I34" s="14" t="str">
        <x:v>REGIÃO TAPAJÓS</x:v>
      </x:c>
      <x:c r="J34" s="14"/>
      <x:c r="K34" s="14" t="str">
        <x:v>45%</x:v>
      </x:c>
      <x:c r="L34" s="46" t="n">
        <x:v>100</x:v>
      </x:c>
      <x:c r="M34" s="46" t="str">
        <x:v>0,00 (CT-e)</x:v>
      </x:c>
      <x:c r="N34" s="46"/>
      <x:c r="O34" s="14" t="str">
        <x:v>IMPOSTO/GRIS</x:v>
      </x:c>
      <x:c r="P34" s="14" t="str">
        <x:v>D+10</x:v>
      </x:c>
      <x:c r="Q34" s="14" t="str">
        <x:v>Seg a Sexta</x:v>
      </x:c>
      <x:c r="R34" s="14" t="str">
        <x:v>ORIGINAL</x:v>
      </x:c>
      <x:c r="S34" s="14" t="str">
        <x:v>NÃO</x:v>
      </x:c>
      <x:c r="T34" s="14" t="str">
        <x:v>REVISAR_OK</x:v>
      </x:c>
      <x:c r="U34" s="14" t="str">
        <x:v>doc20621320260704143240.pdf</x:v>
      </x:c>
      <x:c r="V34" s="14" t="str">
        <x:v>1</x:v>
      </x:c>
      <x:c r="W34" s="14" t="str">
        <x:v>Alguns destinos com via redespacho garimpo/fluvial; revisar</x:v>
      </x:c>
      <x:c r="X34"/>
      <x:c r="Y34"/>
      <x:c r="Z34" t="str">
        <x:v>NÃO</x:v>
      </x:c>
      <x:c r="AA34" t="n">
        <x:v>0</x:v>
      </x:c>
      <x:c r="AB34"/>
      <x:c r="AC34" t="str">
        <x:v>SIM</x:v>
      </x:c>
      <x:c r="AD34" t="str">
        <x:v>JSP</x:v>
      </x:c>
      <x:c r="AE34" s="12" t="str">
        <x:v>PERCENTUAL</x:v>
      </x:c>
      <x:c r="AF34" s="12" t="str">
        <x:v>CTE</x:v>
      </x:c>
      <x:c r="AG34" s="12" t="str">
        <x:v>2.6.46</x:v>
      </x:c>
      <x:c r="AH34" s="12" t="str">
        <x:v>Pedágio JSP informado como 0,00 por CT-e na fonte.</x:v>
      </x:c>
      <x:c r="AI34"/>
    </x:row>
    <x:row r="35">
      <x:c r="A35" s="14" t="str">
        <x:v>JSP_0034</x:v>
      </x:c>
      <x:c r="B35" s="14" t="str">
        <x:v>JSP</x:v>
      </x:c>
      <x:c r="C35" s="14"/>
      <x:c r="D35" s="14"/>
      <x:c r="E35" s="14" t="str">
        <x:v>Marabá</x:v>
      </x:c>
      <x:c r="F35" s="14" t="str">
        <x:v>PA</x:v>
      </x:c>
      <x:c r="G35" s="14" t="str">
        <x:v>Moraes de Almeida</x:v>
      </x:c>
      <x:c r="H35" s="14" t="str">
        <x:v>PA</x:v>
      </x:c>
      <x:c r="I35" s="14" t="str">
        <x:v>REGIÃO TAPAJÓS</x:v>
      </x:c>
      <x:c r="J35" s="14"/>
      <x:c r="K35" s="14" t="str">
        <x:v>45%</x:v>
      </x:c>
      <x:c r="L35" s="46" t="n">
        <x:v>100</x:v>
      </x:c>
      <x:c r="M35" s="46" t="str">
        <x:v>0,00 (CT-e)</x:v>
      </x:c>
      <x:c r="N35" s="46"/>
      <x:c r="O35" s="14" t="str">
        <x:v>IMPOSTO/GRIS</x:v>
      </x:c>
      <x:c r="P35" s="14" t="str">
        <x:v>D+10</x:v>
      </x:c>
      <x:c r="Q35" s="14" t="str">
        <x:v>Seg a Sexta</x:v>
      </x:c>
      <x:c r="R35" s="14" t="str">
        <x:v>ORIGINAL</x:v>
      </x:c>
      <x:c r="S35" s="14" t="str">
        <x:v>NÃO</x:v>
      </x:c>
      <x:c r="T35" s="14" t="str">
        <x:v>REVISAR_OK</x:v>
      </x:c>
      <x:c r="U35" s="14" t="str">
        <x:v>doc20621320260704143240.pdf</x:v>
      </x:c>
      <x:c r="V35" s="14" t="str">
        <x:v>1</x:v>
      </x:c>
      <x:c r="W35" s="14" t="str">
        <x:v>Alguns destinos com via redespacho garimpo/fluvial; revisar</x:v>
      </x:c>
      <x:c r="X35"/>
      <x:c r="Y35"/>
      <x:c r="Z35" t="str">
        <x:v>NÃO</x:v>
      </x:c>
      <x:c r="AA35" t="n">
        <x:v>0</x:v>
      </x:c>
      <x:c r="AB35"/>
      <x:c r="AC35" t="str">
        <x:v>SIM</x:v>
      </x:c>
      <x:c r="AD35" t="str">
        <x:v>JSP</x:v>
      </x:c>
      <x:c r="AE35" s="12" t="str">
        <x:v>PERCENTUAL</x:v>
      </x:c>
      <x:c r="AF35" s="12" t="str">
        <x:v>CTE</x:v>
      </x:c>
      <x:c r="AG35" s="12" t="str">
        <x:v>2.6.46</x:v>
      </x:c>
      <x:c r="AH35" s="12" t="str">
        <x:v>Pedágio JSP informado como 0,00 por CT-e na fonte.</x:v>
      </x:c>
      <x:c r="AI35"/>
    </x:row>
    <x:row r="36">
      <x:c r="A36" s="14" t="str">
        <x:v>JSP_0035</x:v>
      </x:c>
      <x:c r="B36" s="14" t="str">
        <x:v>JSP</x:v>
      </x:c>
      <x:c r="C36" s="14"/>
      <x:c r="D36" s="14"/>
      <x:c r="E36" s="14" t="str">
        <x:v>Marabá</x:v>
      </x:c>
      <x:c r="F36" s="14" t="str">
        <x:v>PA</x:v>
      </x:c>
      <x:c r="G36" s="14" t="str">
        <x:v>Caracol</x:v>
      </x:c>
      <x:c r="H36" s="14" t="str">
        <x:v>PA</x:v>
      </x:c>
      <x:c r="I36" s="14" t="str">
        <x:v>REGIÃO TAPAJÓS</x:v>
      </x:c>
      <x:c r="J36" s="14"/>
      <x:c r="K36" s="14" t="str">
        <x:v>45%</x:v>
      </x:c>
      <x:c r="L36" s="46" t="n">
        <x:v>100</x:v>
      </x:c>
      <x:c r="M36" s="46" t="str">
        <x:v>0,00 (CT-e)</x:v>
      </x:c>
      <x:c r="N36" s="46"/>
      <x:c r="O36" s="14" t="str">
        <x:v>IMPOSTO/GRIS</x:v>
      </x:c>
      <x:c r="P36" s="14" t="str">
        <x:v>D+14</x:v>
      </x:c>
      <x:c r="Q36" s="14" t="str">
        <x:v>Seg a Sexta</x:v>
      </x:c>
      <x:c r="R36" s="14" t="str">
        <x:v>ORIGINAL</x:v>
      </x:c>
      <x:c r="S36" s="14" t="str">
        <x:v>NÃO</x:v>
      </x:c>
      <x:c r="T36" s="14" t="str">
        <x:v>REVISAR_OK</x:v>
      </x:c>
      <x:c r="U36" s="14" t="str">
        <x:v>doc20621320260704143240.pdf</x:v>
      </x:c>
      <x:c r="V36" s="14" t="str">
        <x:v>1</x:v>
      </x:c>
      <x:c r="W36" s="14" t="str">
        <x:v>Alguns destinos com via redespacho garimpo/fluvial; revisar</x:v>
      </x:c>
      <x:c r="X36"/>
      <x:c r="Y36"/>
      <x:c r="Z36" t="str">
        <x:v>NÃO</x:v>
      </x:c>
      <x:c r="AA36" t="n">
        <x:v>0</x:v>
      </x:c>
      <x:c r="AB36"/>
      <x:c r="AC36" t="str">
        <x:v>SIM</x:v>
      </x:c>
      <x:c r="AD36" t="str">
        <x:v>JSP</x:v>
      </x:c>
      <x:c r="AE36" s="12" t="str">
        <x:v>PERCENTUAL</x:v>
      </x:c>
      <x:c r="AF36" s="12" t="str">
        <x:v>CTE</x:v>
      </x:c>
      <x:c r="AG36" s="12" t="str">
        <x:v>2.6.46</x:v>
      </x:c>
      <x:c r="AH36" s="12" t="str">
        <x:v>Pedágio JSP informado como 0,00 por CT-e na fonte.</x:v>
      </x:c>
      <x:c r="AI36"/>
    </x:row>
    <x:row r="37">
      <x:c r="A37" s="14" t="str">
        <x:v>JSP_0036</x:v>
      </x:c>
      <x:c r="B37" s="14" t="str">
        <x:v>JSP</x:v>
      </x:c>
      <x:c r="C37" s="14"/>
      <x:c r="D37" s="14"/>
      <x:c r="E37" s="14" t="str">
        <x:v>Marabá</x:v>
      </x:c>
      <x:c r="F37" s="14" t="str">
        <x:v>PA</x:v>
      </x:c>
      <x:c r="G37" s="14" t="str">
        <x:v>Crepurizinho</x:v>
      </x:c>
      <x:c r="H37" s="14" t="str">
        <x:v>PA</x:v>
      </x:c>
      <x:c r="I37" s="14" t="str">
        <x:v>REGIÃO TAPAJÓS</x:v>
      </x:c>
      <x:c r="J37" s="14"/>
      <x:c r="K37" s="14" t="str">
        <x:v>45%</x:v>
      </x:c>
      <x:c r="L37" s="46" t="n">
        <x:v>100</x:v>
      </x:c>
      <x:c r="M37" s="46" t="str">
        <x:v>0,00 (CT-e)</x:v>
      </x:c>
      <x:c r="N37" s="46"/>
      <x:c r="O37" s="14" t="str">
        <x:v>IMPOSTO/GRIS</x:v>
      </x:c>
      <x:c r="P37" s="14" t="str">
        <x:v>D+14</x:v>
      </x:c>
      <x:c r="Q37" s="14" t="str">
        <x:v>Seg a Sexta</x:v>
      </x:c>
      <x:c r="R37" s="14" t="str">
        <x:v>ORIGINAL</x:v>
      </x:c>
      <x:c r="S37" s="14" t="str">
        <x:v>NÃO</x:v>
      </x:c>
      <x:c r="T37" s="14" t="str">
        <x:v>REVISAR_OK</x:v>
      </x:c>
      <x:c r="U37" s="14" t="str">
        <x:v>doc20621320260704143240.pdf</x:v>
      </x:c>
      <x:c r="V37" s="14" t="str">
        <x:v>1</x:v>
      </x:c>
      <x:c r="W37" s="14" t="str">
        <x:v>Alguns destinos com via redespacho garimpo/fluvial; revisar</x:v>
      </x:c>
      <x:c r="X37"/>
      <x:c r="Y37"/>
      <x:c r="Z37" t="str">
        <x:v>NÃO</x:v>
      </x:c>
      <x:c r="AA37" t="n">
        <x:v>0</x:v>
      </x:c>
      <x:c r="AB37"/>
      <x:c r="AC37" t="str">
        <x:v>SIM</x:v>
      </x:c>
      <x:c r="AD37" t="str">
        <x:v>JSP</x:v>
      </x:c>
      <x:c r="AE37" s="12" t="str">
        <x:v>PERCENTUAL</x:v>
      </x:c>
      <x:c r="AF37" s="12" t="str">
        <x:v>CTE</x:v>
      </x:c>
      <x:c r="AG37" s="12" t="str">
        <x:v>2.6.46</x:v>
      </x:c>
      <x:c r="AH37" s="12" t="str">
        <x:v>Pedágio JSP informado como 0,00 por CT-e na fonte.</x:v>
      </x:c>
      <x:c r="AI37"/>
    </x:row>
    <x:row r="38">
      <x:c r="A38" s="14" t="str">
        <x:v>JSP_0037</x:v>
      </x:c>
      <x:c r="B38" s="14" t="str">
        <x:v>JSP</x:v>
      </x:c>
      <x:c r="C38" s="14"/>
      <x:c r="D38" s="14"/>
      <x:c r="E38" s="14" t="str">
        <x:v>Marabá</x:v>
      </x:c>
      <x:c r="F38" s="14" t="str">
        <x:v>PA</x:v>
      </x:c>
      <x:c r="G38" s="14" t="str">
        <x:v>Faro</x:v>
      </x:c>
      <x:c r="H38" s="14" t="str">
        <x:v>PA</x:v>
      </x:c>
      <x:c r="I38" s="14" t="str">
        <x:v>REGIÃO TAPAJÓS</x:v>
      </x:c>
      <x:c r="J38" s="14"/>
      <x:c r="K38" s="14" t="str">
        <x:v>45%</x:v>
      </x:c>
      <x:c r="L38" s="46" t="n">
        <x:v>100</x:v>
      </x:c>
      <x:c r="M38" s="46" t="str">
        <x:v>0,00 (CT-e)</x:v>
      </x:c>
      <x:c r="N38" s="46"/>
      <x:c r="O38" s="14" t="str">
        <x:v>IMPOSTO/GRIS</x:v>
      </x:c>
      <x:c r="P38" s="14" t="str">
        <x:v>D+14</x:v>
      </x:c>
      <x:c r="Q38" s="14" t="str">
        <x:v>Seg a Sexta</x:v>
      </x:c>
      <x:c r="R38" s="14" t="str">
        <x:v>ORIGINAL</x:v>
      </x:c>
      <x:c r="S38" s="14" t="str">
        <x:v>NÃO</x:v>
      </x:c>
      <x:c r="T38" s="14" t="str">
        <x:v>REVISAR_OK</x:v>
      </x:c>
      <x:c r="U38" s="14" t="str">
        <x:v>doc20621320260704143240.pdf</x:v>
      </x:c>
      <x:c r="V38" s="14" t="str">
        <x:v>1</x:v>
      </x:c>
      <x:c r="W38" s="14" t="str">
        <x:v>Alguns destinos com via redespacho garimpo/fluvial; revisar</x:v>
      </x:c>
      <x:c r="X38"/>
      <x:c r="Y38"/>
      <x:c r="Z38" t="str">
        <x:v>NÃO</x:v>
      </x:c>
      <x:c r="AA38" t="n">
        <x:v>0</x:v>
      </x:c>
      <x:c r="AB38"/>
      <x:c r="AC38" t="str">
        <x:v>SIM</x:v>
      </x:c>
      <x:c r="AD38" t="str">
        <x:v>JSP</x:v>
      </x:c>
      <x:c r="AE38" s="12" t="str">
        <x:v>PERCENTUAL</x:v>
      </x:c>
      <x:c r="AF38" s="12" t="str">
        <x:v>CTE</x:v>
      </x:c>
      <x:c r="AG38" s="12" t="str">
        <x:v>2.6.46</x:v>
      </x:c>
      <x:c r="AH38" s="12" t="str">
        <x:v>Pedágio JSP informado como 0,00 por CT-e na fonte.</x:v>
      </x:c>
      <x:c r="AI38"/>
    </x:row>
    <x:row r="39">
      <x:c r="A39" s="14" t="str">
        <x:v>JSP_0038</x:v>
      </x:c>
      <x:c r="B39" s="14" t="str">
        <x:v>JSP</x:v>
      </x:c>
      <x:c r="C39" s="14"/>
      <x:c r="D39" s="14"/>
      <x:c r="E39" s="14" t="str">
        <x:v>Marabá</x:v>
      </x:c>
      <x:c r="F39" s="14" t="str">
        <x:v>PA</x:v>
      </x:c>
      <x:c r="G39" s="14" t="str">
        <x:v>Santarém</x:v>
      </x:c>
      <x:c r="H39" s="14" t="str">
        <x:v>PA</x:v>
      </x:c>
      <x:c r="I39" s="14" t="str">
        <x:v>REGIÃO TAPAJÓS</x:v>
      </x:c>
      <x:c r="J39" s="14"/>
      <x:c r="K39" s="14" t="str">
        <x:v>45%</x:v>
      </x:c>
      <x:c r="L39" s="46" t="n">
        <x:v>100</x:v>
      </x:c>
      <x:c r="M39" s="46" t="str">
        <x:v>0,00 (CT-e)</x:v>
      </x:c>
      <x:c r="N39" s="46"/>
      <x:c r="O39" s="14" t="str">
        <x:v>IMPOSTO/GRIS</x:v>
      </x:c>
      <x:c r="P39" s="14" t="str">
        <x:v>D+14</x:v>
      </x:c>
      <x:c r="Q39" s="14" t="str">
        <x:v>Seg a Sexta</x:v>
      </x:c>
      <x:c r="R39" s="14" t="str">
        <x:v>ORIGINAL</x:v>
      </x:c>
      <x:c r="S39" s="14" t="str">
        <x:v>NÃO</x:v>
      </x:c>
      <x:c r="T39" s="14" t="str">
        <x:v>REVISAR_OK</x:v>
      </x:c>
      <x:c r="U39" s="14" t="str">
        <x:v>doc20621320260704143240.pdf</x:v>
      </x:c>
      <x:c r="V39" s="14" t="str">
        <x:v>1</x:v>
      </x:c>
      <x:c r="W39" s="14" t="str">
        <x:v>Alguns destinos com via redespacho garimpo/fluvial; revisar</x:v>
      </x:c>
      <x:c r="X39"/>
      <x:c r="Y39"/>
      <x:c r="Z39" t="str">
        <x:v>NÃO</x:v>
      </x:c>
      <x:c r="AA39" t="n">
        <x:v>0</x:v>
      </x:c>
      <x:c r="AB39"/>
      <x:c r="AC39" t="str">
        <x:v>SIM</x:v>
      </x:c>
      <x:c r="AD39" t="str">
        <x:v>JSP</x:v>
      </x:c>
      <x:c r="AE39" s="12" t="str">
        <x:v>PERCENTUAL</x:v>
      </x:c>
      <x:c r="AF39" s="12" t="str">
        <x:v>CTE</x:v>
      </x:c>
      <x:c r="AG39" s="12" t="str">
        <x:v>2.6.46</x:v>
      </x:c>
      <x:c r="AH39" s="12" t="str">
        <x:v>Pedágio JSP informado como 0,00 por CT-e na fonte.</x:v>
      </x:c>
      <x:c r="AI39"/>
    </x:row>
    <x:row r="40">
      <x:c r="A40" s="14" t="str">
        <x:v>JSP_0039</x:v>
      </x:c>
      <x:c r="B40" s="14" t="str">
        <x:v>JSP</x:v>
      </x:c>
      <x:c r="C40" s="14"/>
      <x:c r="D40" s="14"/>
      <x:c r="E40" s="14" t="str">
        <x:v>Marabá</x:v>
      </x:c>
      <x:c r="F40" s="14" t="str">
        <x:v>PA</x:v>
      </x:c>
      <x:c r="G40" s="14" t="str">
        <x:v>Mojuí dos Campos</x:v>
      </x:c>
      <x:c r="H40" s="14" t="str">
        <x:v>PA</x:v>
      </x:c>
      <x:c r="I40" s="14" t="str">
        <x:v>REGIÃO TAPAJÓS</x:v>
      </x:c>
      <x:c r="J40" s="14"/>
      <x:c r="K40" s="14" t="str">
        <x:v>45%</x:v>
      </x:c>
      <x:c r="L40" s="46" t="n">
        <x:v>100</x:v>
      </x:c>
      <x:c r="M40" s="46" t="str">
        <x:v>0,00 (CT-e)</x:v>
      </x:c>
      <x:c r="N40" s="46"/>
      <x:c r="O40" s="14" t="str">
        <x:v>IMPOSTO/GRIS</x:v>
      </x:c>
      <x:c r="P40" s="14" t="str">
        <x:v>D+5</x:v>
      </x:c>
      <x:c r="Q40" s="14" t="str">
        <x:v>Seg a Sexta</x:v>
      </x:c>
      <x:c r="R40" s="14" t="str">
        <x:v>ORIGINAL</x:v>
      </x:c>
      <x:c r="S40" s="14" t="str">
        <x:v>NÃO</x:v>
      </x:c>
      <x:c r="T40" s="14" t="str">
        <x:v>REVISAR_OK</x:v>
      </x:c>
      <x:c r="U40" s="14" t="str">
        <x:v>doc20621320260704143240.pdf</x:v>
      </x:c>
      <x:c r="V40" s="14" t="str">
        <x:v>1</x:v>
      </x:c>
      <x:c r="W40" s="14" t="str">
        <x:v>Alguns destinos com via redespacho garimpo/fluvial; revisar</x:v>
      </x:c>
      <x:c r="X40"/>
      <x:c r="Y40"/>
      <x:c r="Z40" t="str">
        <x:v>NÃO</x:v>
      </x:c>
      <x:c r="AA40" t="n">
        <x:v>0</x:v>
      </x:c>
      <x:c r="AB40"/>
      <x:c r="AC40" t="str">
        <x:v>SIM</x:v>
      </x:c>
      <x:c r="AD40" t="str">
        <x:v>JSP</x:v>
      </x:c>
      <x:c r="AE40" s="12" t="str">
        <x:v>PERCENTUAL</x:v>
      </x:c>
      <x:c r="AF40" s="12" t="str">
        <x:v>CTE</x:v>
      </x:c>
      <x:c r="AG40" s="12" t="str">
        <x:v>2.6.46</x:v>
      </x:c>
      <x:c r="AH40" s="12" t="str">
        <x:v>Pedágio JSP informado como 0,00 por CT-e na fonte.</x:v>
      </x:c>
      <x:c r="AI40"/>
    </x:row>
    <x:row r="41">
      <x:c r="A41" s="14" t="str">
        <x:v>JSP_0040</x:v>
      </x:c>
      <x:c r="B41" s="14" t="str">
        <x:v>JSP</x:v>
      </x:c>
      <x:c r="C41" s="14"/>
      <x:c r="D41" s="14"/>
      <x:c r="E41" s="14" t="str">
        <x:v>Marabá</x:v>
      </x:c>
      <x:c r="F41" s="14" t="str">
        <x:v>PA</x:v>
      </x:c>
      <x:c r="G41" s="14" t="str">
        <x:v>Belterra</x:v>
      </x:c>
      <x:c r="H41" s="14" t="str">
        <x:v>PA</x:v>
      </x:c>
      <x:c r="I41" s="14" t="str">
        <x:v>REGIÃO TAPAJÓS</x:v>
      </x:c>
      <x:c r="J41" s="14"/>
      <x:c r="K41" s="14" t="str">
        <x:v>45%</x:v>
      </x:c>
      <x:c r="L41" s="46" t="n">
        <x:v>100</x:v>
      </x:c>
      <x:c r="M41" s="46" t="str">
        <x:v>0,00 (CT-e)</x:v>
      </x:c>
      <x:c r="N41" s="46"/>
      <x:c r="O41" s="14" t="str">
        <x:v>IMPOSTO/GRIS</x:v>
      </x:c>
      <x:c r="P41" s="14" t="str">
        <x:v>D+6</x:v>
      </x:c>
      <x:c r="Q41" s="14" t="str">
        <x:v>Seg a Sexta</x:v>
      </x:c>
      <x:c r="R41" s="14" t="str">
        <x:v>ORIGINAL</x:v>
      </x:c>
      <x:c r="S41" s="14" t="str">
        <x:v>NÃO</x:v>
      </x:c>
      <x:c r="T41" s="14" t="str">
        <x:v>REVISAR_OK</x:v>
      </x:c>
      <x:c r="U41" s="14" t="str">
        <x:v>doc20621320260704143240.pdf</x:v>
      </x:c>
      <x:c r="V41" s="14" t="str">
        <x:v>1</x:v>
      </x:c>
      <x:c r="W41" s="14" t="str">
        <x:v>Alguns destinos com via redespacho garimpo/fluvial; revisar</x:v>
      </x:c>
      <x:c r="X41"/>
      <x:c r="Y41"/>
      <x:c r="Z41" t="str">
        <x:v>NÃO</x:v>
      </x:c>
      <x:c r="AA41" t="n">
        <x:v>0</x:v>
      </x:c>
      <x:c r="AB41"/>
      <x:c r="AC41" t="str">
        <x:v>SIM</x:v>
      </x:c>
      <x:c r="AD41" t="str">
        <x:v>JSP</x:v>
      </x:c>
      <x:c r="AE41" s="12" t="str">
        <x:v>PERCENTUAL</x:v>
      </x:c>
      <x:c r="AF41" s="12" t="str">
        <x:v>CTE</x:v>
      </x:c>
      <x:c r="AG41" s="12" t="str">
        <x:v>2.6.46</x:v>
      </x:c>
      <x:c r="AH41" s="12" t="str">
        <x:v>Pedágio JSP informado como 0,00 por CT-e na fonte.</x:v>
      </x:c>
      <x:c r="AI41"/>
    </x:row>
    <x:row r="42">
      <x:c r="A42" s="14" t="str">
        <x:v>JSP_0041</x:v>
      </x:c>
      <x:c r="B42" s="14" t="str">
        <x:v>JSP</x:v>
      </x:c>
      <x:c r="C42" s="14"/>
      <x:c r="D42" s="14"/>
      <x:c r="E42" s="14" t="str">
        <x:v>Marabá</x:v>
      </x:c>
      <x:c r="F42" s="14" t="str">
        <x:v>PA</x:v>
      </x:c>
      <x:c r="G42" s="14" t="str">
        <x:v>Placas</x:v>
      </x:c>
      <x:c r="H42" s="14" t="str">
        <x:v>PA</x:v>
      </x:c>
      <x:c r="I42" s="14" t="str">
        <x:v>REGIÃO TAPAJÓS</x:v>
      </x:c>
      <x:c r="J42" s="14"/>
      <x:c r="K42" s="14" t="str">
        <x:v>45%</x:v>
      </x:c>
      <x:c r="L42" s="46" t="n">
        <x:v>100</x:v>
      </x:c>
      <x:c r="M42" s="46" t="str">
        <x:v>0,00 (CT-e)</x:v>
      </x:c>
      <x:c r="N42" s="46"/>
      <x:c r="O42" s="14" t="str">
        <x:v>IMPOSTO/GRIS</x:v>
      </x:c>
      <x:c r="P42" s="14" t="str">
        <x:v>D+6</x:v>
      </x:c>
      <x:c r="Q42" s="14" t="str">
        <x:v>Seg a Sexta</x:v>
      </x:c>
      <x:c r="R42" s="14" t="str">
        <x:v>ORIGINAL</x:v>
      </x:c>
      <x:c r="S42" s="14" t="str">
        <x:v>NÃO</x:v>
      </x:c>
      <x:c r="T42" s="14" t="str">
        <x:v>REVISAR_OK</x:v>
      </x:c>
      <x:c r="U42" s="14" t="str">
        <x:v>doc20621320260704143240.pdf</x:v>
      </x:c>
      <x:c r="V42" s="14" t="str">
        <x:v>1</x:v>
      </x:c>
      <x:c r="W42" s="14" t="str">
        <x:v>Alguns destinos com via redespacho garimpo/fluvial; revisar</x:v>
      </x:c>
      <x:c r="X42"/>
      <x:c r="Y42"/>
      <x:c r="Z42" t="str">
        <x:v>NÃO</x:v>
      </x:c>
      <x:c r="AA42" t="n">
        <x:v>0</x:v>
      </x:c>
      <x:c r="AB42"/>
      <x:c r="AC42" t="str">
        <x:v>SIM</x:v>
      </x:c>
      <x:c r="AD42" t="str">
        <x:v>JSP</x:v>
      </x:c>
      <x:c r="AE42" s="12" t="str">
        <x:v>PERCENTUAL</x:v>
      </x:c>
      <x:c r="AF42" s="12" t="str">
        <x:v>CTE</x:v>
      </x:c>
      <x:c r="AG42" s="12" t="str">
        <x:v>2.6.46</x:v>
      </x:c>
      <x:c r="AH42" s="12" t="str">
        <x:v>Pedágio JSP informado como 0,00 por CT-e na fonte.</x:v>
      </x:c>
      <x:c r="AI42"/>
    </x:row>
    <x:row r="43">
      <x:c r="A43" s="14" t="str">
        <x:v>JSP_0042</x:v>
      </x:c>
      <x:c r="B43" s="14" t="str">
        <x:v>JSP</x:v>
      </x:c>
      <x:c r="C43" s="14"/>
      <x:c r="D43" s="14"/>
      <x:c r="E43" s="14" t="str">
        <x:v>Marabá</x:v>
      </x:c>
      <x:c r="F43" s="14" t="str">
        <x:v>PA</x:v>
      </x:c>
      <x:c r="G43" s="14" t="str">
        <x:v>Rurópolis</x:v>
      </x:c>
      <x:c r="H43" s="14" t="str">
        <x:v>PA</x:v>
      </x:c>
      <x:c r="I43" s="14" t="str">
        <x:v>REGIÃO TAPAJÓS</x:v>
      </x:c>
      <x:c r="J43" s="14"/>
      <x:c r="K43" s="14" t="str">
        <x:v>45%</x:v>
      </x:c>
      <x:c r="L43" s="46" t="n">
        <x:v>100</x:v>
      </x:c>
      <x:c r="M43" s="46" t="str">
        <x:v>0,00 (CT-e)</x:v>
      </x:c>
      <x:c r="N43" s="46"/>
      <x:c r="O43" s="14" t="str">
        <x:v>IMPOSTO/GRIS</x:v>
      </x:c>
      <x:c r="P43" s="14" t="str">
        <x:v>D+6</x:v>
      </x:c>
      <x:c r="Q43" s="14" t="str">
        <x:v>Seg a Sexta</x:v>
      </x:c>
      <x:c r="R43" s="14" t="str">
        <x:v>ORIGINAL</x:v>
      </x:c>
      <x:c r="S43" s="14" t="str">
        <x:v>NÃO</x:v>
      </x:c>
      <x:c r="T43" s="14" t="str">
        <x:v>REVISAR_OK</x:v>
      </x:c>
      <x:c r="U43" s="14" t="str">
        <x:v>doc20621320260704143240.pdf</x:v>
      </x:c>
      <x:c r="V43" s="14" t="str">
        <x:v>1</x:v>
      </x:c>
      <x:c r="W43" s="14" t="str">
        <x:v>Alguns destinos com via redespacho garimpo/fluvial; revisar</x:v>
      </x:c>
      <x:c r="X43"/>
      <x:c r="Y43"/>
      <x:c r="Z43" t="str">
        <x:v>NÃO</x:v>
      </x:c>
      <x:c r="AA43" t="n">
        <x:v>0</x:v>
      </x:c>
      <x:c r="AB43"/>
      <x:c r="AC43" t="str">
        <x:v>SIM</x:v>
      </x:c>
      <x:c r="AD43" t="str">
        <x:v>JSP</x:v>
      </x:c>
      <x:c r="AE43" s="12" t="str">
        <x:v>PERCENTUAL</x:v>
      </x:c>
      <x:c r="AF43" s="12" t="str">
        <x:v>CTE</x:v>
      </x:c>
      <x:c r="AG43" s="12" t="str">
        <x:v>2.6.46</x:v>
      </x:c>
      <x:c r="AH43" s="12" t="str">
        <x:v>Pedágio JSP informado como 0,00 por CT-e na fonte.</x:v>
      </x:c>
      <x:c r="AI43"/>
    </x:row>
    <x:row r="44">
      <x:c r="A44" s="14" t="str">
        <x:v>JSP_0043</x:v>
      </x:c>
      <x:c r="B44" s="14" t="str">
        <x:v>JSP</x:v>
      </x:c>
      <x:c r="C44" s="14"/>
      <x:c r="D44" s="14"/>
      <x:c r="E44" s="14" t="str">
        <x:v>Marabá</x:v>
      </x:c>
      <x:c r="F44" s="14" t="str">
        <x:v>PA</x:v>
      </x:c>
      <x:c r="G44" s="14" t="str">
        <x:v>Itaituba</x:v>
      </x:c>
      <x:c r="H44" s="14" t="str">
        <x:v>PA</x:v>
      </x:c>
      <x:c r="I44" s="14" t="str">
        <x:v>REGIÃO TAPAJÓS</x:v>
      </x:c>
      <x:c r="J44" s="14"/>
      <x:c r="K44" s="14" t="str">
        <x:v>45%</x:v>
      </x:c>
      <x:c r="L44" s="46" t="n">
        <x:v>100</x:v>
      </x:c>
      <x:c r="M44" s="46" t="str">
        <x:v>0,00 (CT-e)</x:v>
      </x:c>
      <x:c r="N44" s="46"/>
      <x:c r="O44" s="14" t="str">
        <x:v>IMPOSTO/GRIS</x:v>
      </x:c>
      <x:c r="P44" s="14" t="str">
        <x:v>D+7</x:v>
      </x:c>
      <x:c r="Q44" s="14" t="str">
        <x:v>Seg a Sexta</x:v>
      </x:c>
      <x:c r="R44" s="14" t="str">
        <x:v>ORIGINAL</x:v>
      </x:c>
      <x:c r="S44" s="14" t="str">
        <x:v>NÃO</x:v>
      </x:c>
      <x:c r="T44" s="14" t="str">
        <x:v>REVISAR_OK</x:v>
      </x:c>
      <x:c r="U44" s="14" t="str">
        <x:v>doc20621320260704143240.pdf</x:v>
      </x:c>
      <x:c r="V44" s="14" t="str">
        <x:v>1</x:v>
      </x:c>
      <x:c r="W44" s="14" t="str">
        <x:v>Alguns destinos com via redespacho garimpo/fluvial; revisar</x:v>
      </x:c>
      <x:c r="X44"/>
      <x:c r="Y44"/>
      <x:c r="Z44" t="str">
        <x:v>NÃO</x:v>
      </x:c>
      <x:c r="AA44" t="n">
        <x:v>0</x:v>
      </x:c>
      <x:c r="AB44"/>
      <x:c r="AC44" t="str">
        <x:v>SIM</x:v>
      </x:c>
      <x:c r="AD44" t="str">
        <x:v>JSP</x:v>
      </x:c>
      <x:c r="AE44" s="12" t="str">
        <x:v>PERCENTUAL</x:v>
      </x:c>
      <x:c r="AF44" s="12" t="str">
        <x:v>CTE</x:v>
      </x:c>
      <x:c r="AG44" s="12" t="str">
        <x:v>2.6.46</x:v>
      </x:c>
      <x:c r="AH44" s="12" t="str">
        <x:v>Pedágio JSP informado como 0,00 por CT-e na fonte.</x:v>
      </x:c>
      <x:c r="AI44"/>
    </x:row>
    <x:row r="45">
      <x:c r="A45" s="14" t="str">
        <x:v>JSP_0044</x:v>
      </x:c>
      <x:c r="B45" s="14" t="str">
        <x:v>JSP</x:v>
      </x:c>
      <x:c r="C45" s="14"/>
      <x:c r="D45" s="14"/>
      <x:c r="E45" s="14" t="str">
        <x:v>Marabá</x:v>
      </x:c>
      <x:c r="F45" s="14" t="str">
        <x:v>PA</x:v>
      </x:c>
      <x:c r="G45" s="14" t="str">
        <x:v>Moraes de Almeida (Distrito)</x:v>
      </x:c>
      <x:c r="H45" s="14" t="str">
        <x:v>PA</x:v>
      </x:c>
      <x:c r="I45" s="14" t="str">
        <x:v>REGIÃO TAPAJÓS</x:v>
      </x:c>
      <x:c r="J45" s="14"/>
      <x:c r="K45" s="14" t="str">
        <x:v>45%</x:v>
      </x:c>
      <x:c r="L45" s="46" t="n">
        <x:v>100</x:v>
      </x:c>
      <x:c r="M45" s="46" t="str">
        <x:v>0,00 (CT-e)</x:v>
      </x:c>
      <x:c r="N45" s="46"/>
      <x:c r="O45" s="14" t="str">
        <x:v>IMPOSTO/GRIS</x:v>
      </x:c>
      <x:c r="P45" s="14" t="str">
        <x:v>D+7</x:v>
      </x:c>
      <x:c r="Q45" s="14" t="str">
        <x:v>Seg a Sexta</x:v>
      </x:c>
      <x:c r="R45" s="14" t="str">
        <x:v>ORIGINAL</x:v>
      </x:c>
      <x:c r="S45" s="14" t="str">
        <x:v>NÃO</x:v>
      </x:c>
      <x:c r="T45" s="14" t="str">
        <x:v>REVISAR_OK</x:v>
      </x:c>
      <x:c r="U45" s="14" t="str">
        <x:v>doc20621320260704143240.pdf</x:v>
      </x:c>
      <x:c r="V45" s="14" t="str">
        <x:v>1</x:v>
      </x:c>
      <x:c r="W45" s="14" t="str">
        <x:v>Alguns destinos com via redespacho garimpo/fluvial; revisar</x:v>
      </x:c>
      <x:c r="X45"/>
      <x:c r="Y45"/>
      <x:c r="Z45" t="str">
        <x:v>NÃO</x:v>
      </x:c>
      <x:c r="AA45" t="n">
        <x:v>0</x:v>
      </x:c>
      <x:c r="AB45"/>
      <x:c r="AC45" t="str">
        <x:v>SIM</x:v>
      </x:c>
      <x:c r="AD45" t="str">
        <x:v>JSP</x:v>
      </x:c>
      <x:c r="AE45" s="12" t="str">
        <x:v>PERCENTUAL</x:v>
      </x:c>
      <x:c r="AF45" s="12" t="str">
        <x:v>CTE</x:v>
      </x:c>
      <x:c r="AG45" s="12" t="str">
        <x:v>2.6.46</x:v>
      </x:c>
      <x:c r="AH45" s="12" t="str">
        <x:v>Pedágio JSP informado como 0,00 por CT-e na fonte.</x:v>
      </x:c>
      <x:c r="AI45"/>
    </x:row>
    <x:row r="46">
      <x:c r="A46" s="14" t="str">
        <x:v>JSP_0045</x:v>
      </x:c>
      <x:c r="B46" s="14" t="str">
        <x:v>JSP</x:v>
      </x:c>
      <x:c r="C46" s="14"/>
      <x:c r="D46" s="14"/>
      <x:c r="E46" s="14" t="str">
        <x:v>Marabá</x:v>
      </x:c>
      <x:c r="F46" s="14" t="str">
        <x:v>PA</x:v>
      </x:c>
      <x:c r="G46" s="14" t="str">
        <x:v>Novo Progresso</x:v>
      </x:c>
      <x:c r="H46" s="14" t="str">
        <x:v>PA</x:v>
      </x:c>
      <x:c r="I46" s="14" t="str">
        <x:v>REGIÃO TAPAJÓS</x:v>
      </x:c>
      <x:c r="J46" s="14"/>
      <x:c r="K46" s="14" t="str">
        <x:v>45%</x:v>
      </x:c>
      <x:c r="L46" s="46" t="n">
        <x:v>100</x:v>
      </x:c>
      <x:c r="M46" s="46" t="str">
        <x:v>0,00 (CT-e)</x:v>
      </x:c>
      <x:c r="N46" s="46"/>
      <x:c r="O46" s="14" t="str">
        <x:v>IMPOSTO/GRIS</x:v>
      </x:c>
      <x:c r="P46" s="14" t="str">
        <x:v>D+8</x:v>
      </x:c>
      <x:c r="Q46" s="14" t="str">
        <x:v>Seg a Sexta</x:v>
      </x:c>
      <x:c r="R46" s="14" t="str">
        <x:v>ORIGINAL</x:v>
      </x:c>
      <x:c r="S46" s="14" t="str">
        <x:v>NÃO</x:v>
      </x:c>
      <x:c r="T46" s="14" t="str">
        <x:v>REVISAR_OK</x:v>
      </x:c>
      <x:c r="U46" s="14" t="str">
        <x:v>doc20621320260704143240.pdf</x:v>
      </x:c>
      <x:c r="V46" s="14" t="str">
        <x:v>1</x:v>
      </x:c>
      <x:c r="W46" s="14" t="str">
        <x:v>Alguns destinos com via redespacho garimpo/fluvial; revisar</x:v>
      </x:c>
      <x:c r="X46"/>
      <x:c r="Y46"/>
      <x:c r="Z46" t="str">
        <x:v>NÃO</x:v>
      </x:c>
      <x:c r="AA46" t="n">
        <x:v>0</x:v>
      </x:c>
      <x:c r="AB46"/>
      <x:c r="AC46" t="str">
        <x:v>SIM</x:v>
      </x:c>
      <x:c r="AD46" t="str">
        <x:v>JSP</x:v>
      </x:c>
      <x:c r="AE46" s="12" t="str">
        <x:v>PERCENTUAL</x:v>
      </x:c>
      <x:c r="AF46" s="12" t="str">
        <x:v>CTE</x:v>
      </x:c>
      <x:c r="AG46" s="12" t="str">
        <x:v>2.6.46</x:v>
      </x:c>
      <x:c r="AH46" s="12" t="str">
        <x:v>Pedágio JSP informado como 0,00 por CT-e na fonte.</x:v>
      </x:c>
      <x:c r="AI46"/>
    </x:row>
    <x:row r="47">
      <x:c r="A47" s="14" t="str">
        <x:v>JSP_0046</x:v>
      </x:c>
      <x:c r="B47" s="14" t="str">
        <x:v>JSP</x:v>
      </x:c>
      <x:c r="C47" s="14"/>
      <x:c r="D47" s="14"/>
      <x:c r="E47" s="14" t="str">
        <x:v>Marabá</x:v>
      </x:c>
      <x:c r="F47" s="14" t="str">
        <x:v>PA</x:v>
      </x:c>
      <x:c r="G47" s="14" t="str">
        <x:v>Alenquer</x:v>
      </x:c>
      <x:c r="H47" s="14" t="str">
        <x:v>PA</x:v>
      </x:c>
      <x:c r="I47" s="14" t="str">
        <x:v>REGIÃO TAPAJÓS</x:v>
      </x:c>
      <x:c r="J47" s="14"/>
      <x:c r="K47" s="14" t="str">
        <x:v>45%</x:v>
      </x:c>
      <x:c r="L47" s="46" t="n">
        <x:v>100</x:v>
      </x:c>
      <x:c r="M47" s="46" t="str">
        <x:v>0,00 (CT-e)</x:v>
      </x:c>
      <x:c r="N47" s="46"/>
      <x:c r="O47" s="14" t="str">
        <x:v>IMPOSTO/GRIS</x:v>
      </x:c>
      <x:c r="P47" s="14" t="str">
        <x:v>D+8</x:v>
      </x:c>
      <x:c r="Q47" s="14" t="str">
        <x:v>Seg a Sexta</x:v>
      </x:c>
      <x:c r="R47" s="14" t="str">
        <x:v>ORIGINAL</x:v>
      </x:c>
      <x:c r="S47" s="14" t="str">
        <x:v>NÃO</x:v>
      </x:c>
      <x:c r="T47" s="14" t="str">
        <x:v>REVISAR_OK</x:v>
      </x:c>
      <x:c r="U47" s="14" t="str">
        <x:v>doc20621320260704143240.pdf</x:v>
      </x:c>
      <x:c r="V47" s="14" t="str">
        <x:v>2</x:v>
      </x:c>
      <x:c r="W47" s="14" t="str">
        <x:v>VIA REDESPACHO/FLUVIAL em parte dos destinos; revisar</x:v>
      </x:c>
      <x:c r="X47"/>
      <x:c r="Y47"/>
      <x:c r="Z47" t="str">
        <x:v>NÃO</x:v>
      </x:c>
      <x:c r="AA47" t="n">
        <x:v>0</x:v>
      </x:c>
      <x:c r="AB47"/>
      <x:c r="AC47" t="str">
        <x:v>SIM</x:v>
      </x:c>
      <x:c r="AD47" t="str">
        <x:v>JSP</x:v>
      </x:c>
      <x:c r="AE47" s="12" t="str">
        <x:v>PERCENTUAL</x:v>
      </x:c>
      <x:c r="AF47" s="12" t="str">
        <x:v>CTE</x:v>
      </x:c>
      <x:c r="AG47" s="12" t="str">
        <x:v>2.6.46</x:v>
      </x:c>
      <x:c r="AH47" s="12" t="str">
        <x:v>Pedágio JSP informado como 0,00 por CT-e na fonte.</x:v>
      </x:c>
      <x:c r="AI47"/>
    </x:row>
    <x:row r="48">
      <x:c r="A48" s="14" t="str">
        <x:v>JSP_0047</x:v>
      </x:c>
      <x:c r="B48" s="14" t="str">
        <x:v>JSP</x:v>
      </x:c>
      <x:c r="C48" s="14"/>
      <x:c r="D48" s="14"/>
      <x:c r="E48" s="14" t="str">
        <x:v>Marabá</x:v>
      </x:c>
      <x:c r="F48" s="14" t="str">
        <x:v>PA</x:v>
      </x:c>
      <x:c r="G48" s="14" t="str">
        <x:v>Almeirim</x:v>
      </x:c>
      <x:c r="H48" s="14" t="str">
        <x:v>PA</x:v>
      </x:c>
      <x:c r="I48" s="14" t="str">
        <x:v>REGIÃO TAPAJÓS</x:v>
      </x:c>
      <x:c r="J48" s="14"/>
      <x:c r="K48" s="14" t="str">
        <x:v>45%</x:v>
      </x:c>
      <x:c r="L48" s="46" t="n">
        <x:v>100</x:v>
      </x:c>
      <x:c r="M48" s="46" t="str">
        <x:v>0,00 (CT-e)</x:v>
      </x:c>
      <x:c r="N48" s="46"/>
      <x:c r="O48" s="14" t="str">
        <x:v>IMPOSTO/GRIS</x:v>
      </x:c>
      <x:c r="P48" s="14" t="str">
        <x:v>D+8</x:v>
      </x:c>
      <x:c r="Q48" s="14" t="str">
        <x:v>Seg a Sexta</x:v>
      </x:c>
      <x:c r="R48" s="14" t="str">
        <x:v>ORIGINAL</x:v>
      </x:c>
      <x:c r="S48" s="14" t="str">
        <x:v>NÃO</x:v>
      </x:c>
      <x:c r="T48" s="14" t="str">
        <x:v>REVISAR_OK</x:v>
      </x:c>
      <x:c r="U48" s="14" t="str">
        <x:v>doc20621320260704143240.pdf</x:v>
      </x:c>
      <x:c r="V48" s="14" t="str">
        <x:v>2</x:v>
      </x:c>
      <x:c r="W48" s="14" t="str">
        <x:v>VIA REDESPACHO/FLUVIAL em parte dos destinos; revisar</x:v>
      </x:c>
      <x:c r="X48"/>
      <x:c r="Y48"/>
      <x:c r="Z48" t="str">
        <x:v>NÃO</x:v>
      </x:c>
      <x:c r="AA48" t="n">
        <x:v>0</x:v>
      </x:c>
      <x:c r="AB48"/>
      <x:c r="AC48" t="str">
        <x:v>SIM</x:v>
      </x:c>
      <x:c r="AD48" t="str">
        <x:v>JSP</x:v>
      </x:c>
      <x:c r="AE48" s="12" t="str">
        <x:v>PERCENTUAL</x:v>
      </x:c>
      <x:c r="AF48" s="12" t="str">
        <x:v>CTE</x:v>
      </x:c>
      <x:c r="AG48" s="12" t="str">
        <x:v>2.6.46</x:v>
      </x:c>
      <x:c r="AH48" s="12" t="str">
        <x:v>Pedágio JSP informado como 0,00 por CT-e na fonte.</x:v>
      </x:c>
      <x:c r="AI48"/>
    </x:row>
    <x:row r="49">
      <x:c r="A49" s="14" t="str">
        <x:v>JSP_0048</x:v>
      </x:c>
      <x:c r="B49" s="14" t="str">
        <x:v>JSP</x:v>
      </x:c>
      <x:c r="C49" s="14"/>
      <x:c r="D49" s="14"/>
      <x:c r="E49" s="14" t="str">
        <x:v>Marabá</x:v>
      </x:c>
      <x:c r="F49" s="14" t="str">
        <x:v>PA</x:v>
      </x:c>
      <x:c r="G49" s="14" t="str">
        <x:v>Aveiro</x:v>
      </x:c>
      <x:c r="H49" s="14" t="str">
        <x:v>PA</x:v>
      </x:c>
      <x:c r="I49" s="14" t="str">
        <x:v>REGIÃO TAPAJÓS</x:v>
      </x:c>
      <x:c r="J49" s="14"/>
      <x:c r="K49" s="14" t="str">
        <x:v>45%</x:v>
      </x:c>
      <x:c r="L49" s="46" t="n">
        <x:v>100</x:v>
      </x:c>
      <x:c r="M49" s="46" t="str">
        <x:v>0,00 (CT-e)</x:v>
      </x:c>
      <x:c r="N49" s="46"/>
      <x:c r="O49" s="14" t="str">
        <x:v>IMPOSTO/GRIS</x:v>
      </x:c>
      <x:c r="P49" s="14" t="str">
        <x:v>D+8</x:v>
      </x:c>
      <x:c r="Q49" s="14" t="str">
        <x:v>Seg a Sexta</x:v>
      </x:c>
      <x:c r="R49" s="14" t="str">
        <x:v>ORIGINAL</x:v>
      </x:c>
      <x:c r="S49" s="14" t="str">
        <x:v>NÃO</x:v>
      </x:c>
      <x:c r="T49" s="14" t="str">
        <x:v>REVISAR_OK</x:v>
      </x:c>
      <x:c r="U49" s="14" t="str">
        <x:v>doc20621320260704143240.pdf</x:v>
      </x:c>
      <x:c r="V49" s="14" t="str">
        <x:v>2</x:v>
      </x:c>
      <x:c r="W49" s="14" t="str">
        <x:v>VIA REDESPACHO/FLUVIAL em parte dos destinos; revisar</x:v>
      </x:c>
      <x:c r="X49"/>
      <x:c r="Y49"/>
      <x:c r="Z49" t="str">
        <x:v>NÃO</x:v>
      </x:c>
      <x:c r="AA49" t="n">
        <x:v>0</x:v>
      </x:c>
      <x:c r="AB49"/>
      <x:c r="AC49" t="str">
        <x:v>SIM</x:v>
      </x:c>
      <x:c r="AD49" t="str">
        <x:v>JSP</x:v>
      </x:c>
      <x:c r="AE49" s="12" t="str">
        <x:v>PERCENTUAL</x:v>
      </x:c>
      <x:c r="AF49" s="12" t="str">
        <x:v>CTE</x:v>
      </x:c>
      <x:c r="AG49" s="12" t="str">
        <x:v>2.6.46</x:v>
      </x:c>
      <x:c r="AH49" s="12" t="str">
        <x:v>Pedágio JSP informado como 0,00 por CT-e na fonte.</x:v>
      </x:c>
      <x:c r="AI49"/>
    </x:row>
    <x:row r="50">
      <x:c r="A50" s="14" t="str">
        <x:v>JSP_0049</x:v>
      </x:c>
      <x:c r="B50" s="14" t="str">
        <x:v>JSP</x:v>
      </x:c>
      <x:c r="C50" s="14"/>
      <x:c r="D50" s="14"/>
      <x:c r="E50" s="14" t="str">
        <x:v>Marabá</x:v>
      </x:c>
      <x:c r="F50" s="14" t="str">
        <x:v>PA</x:v>
      </x:c>
      <x:c r="G50" s="14" t="str">
        <x:v>Cachoeira da Serra</x:v>
      </x:c>
      <x:c r="H50" s="14" t="str">
        <x:v>PA</x:v>
      </x:c>
      <x:c r="I50" s="14" t="str">
        <x:v>REGIÃO TAPAJÓS</x:v>
      </x:c>
      <x:c r="J50" s="14"/>
      <x:c r="K50" s="14" t="str">
        <x:v>45%</x:v>
      </x:c>
      <x:c r="L50" s="46" t="n">
        <x:v>100</x:v>
      </x:c>
      <x:c r="M50" s="46" t="str">
        <x:v>0,00 (CT-e)</x:v>
      </x:c>
      <x:c r="N50" s="46"/>
      <x:c r="O50" s="14" t="str">
        <x:v>IMPOSTO/GRIS</x:v>
      </x:c>
      <x:c r="P50" s="14" t="str">
        <x:v>D+8</x:v>
      </x:c>
      <x:c r="Q50" s="14" t="str">
        <x:v>Seg a Sexta</x:v>
      </x:c>
      <x:c r="R50" s="14" t="str">
        <x:v>ORIGINAL</x:v>
      </x:c>
      <x:c r="S50" s="14" t="str">
        <x:v>NÃO</x:v>
      </x:c>
      <x:c r="T50" s="14" t="str">
        <x:v>REVISAR_OK</x:v>
      </x:c>
      <x:c r="U50" s="14" t="str">
        <x:v>doc20621320260704143240.pdf</x:v>
      </x:c>
      <x:c r="V50" s="14" t="str">
        <x:v>2</x:v>
      </x:c>
      <x:c r="W50" s="14" t="str">
        <x:v>VIA REDESPACHO/FLUVIAL em parte dos destinos; revisar</x:v>
      </x:c>
      <x:c r="X50"/>
      <x:c r="Y50"/>
      <x:c r="Z50" t="str">
        <x:v>NÃO</x:v>
      </x:c>
      <x:c r="AA50" t="n">
        <x:v>0</x:v>
      </x:c>
      <x:c r="AB50"/>
      <x:c r="AC50" t="str">
        <x:v>SIM</x:v>
      </x:c>
      <x:c r="AD50" t="str">
        <x:v>JSP</x:v>
      </x:c>
      <x:c r="AE50" s="12" t="str">
        <x:v>PERCENTUAL</x:v>
      </x:c>
      <x:c r="AF50" s="12" t="str">
        <x:v>CTE</x:v>
      </x:c>
      <x:c r="AG50" s="12" t="str">
        <x:v>2.6.46</x:v>
      </x:c>
      <x:c r="AH50" s="12" t="str">
        <x:v>Pedágio JSP informado como 0,00 por CT-e na fonte.</x:v>
      </x:c>
      <x:c r="AI50"/>
    </x:row>
    <x:row r="51">
      <x:c r="A51" s="14" t="str">
        <x:v>JSP_0050</x:v>
      </x:c>
      <x:c r="B51" s="14" t="str">
        <x:v>JSP</x:v>
      </x:c>
      <x:c r="C51" s="14"/>
      <x:c r="D51" s="14"/>
      <x:c r="E51" s="14" t="str">
        <x:v>Marabá</x:v>
      </x:c>
      <x:c r="F51" s="14" t="str">
        <x:v>PA</x:v>
      </x:c>
      <x:c r="G51" s="14" t="str">
        <x:v>Castelo dos Sonhos</x:v>
      </x:c>
      <x:c r="H51" s="14" t="str">
        <x:v>PA</x:v>
      </x:c>
      <x:c r="I51" s="14" t="str">
        <x:v>REGIÃO TAPAJÓS</x:v>
      </x:c>
      <x:c r="J51" s="14"/>
      <x:c r="K51" s="14" t="str">
        <x:v>45%</x:v>
      </x:c>
      <x:c r="L51" s="46" t="n">
        <x:v>100</x:v>
      </x:c>
      <x:c r="M51" s="46" t="str">
        <x:v>0,00 (CT-e)</x:v>
      </x:c>
      <x:c r="N51" s="46"/>
      <x:c r="O51" s="14" t="str">
        <x:v>IMPOSTO/GRIS</x:v>
      </x:c>
      <x:c r="P51" s="14" t="str">
        <x:v>D+8</x:v>
      </x:c>
      <x:c r="Q51" s="14" t="str">
        <x:v>Seg a Sexta</x:v>
      </x:c>
      <x:c r="R51" s="14" t="str">
        <x:v>ORIGINAL</x:v>
      </x:c>
      <x:c r="S51" s="14" t="str">
        <x:v>NÃO</x:v>
      </x:c>
      <x:c r="T51" s="14" t="str">
        <x:v>REVISAR_OK</x:v>
      </x:c>
      <x:c r="U51" s="14" t="str">
        <x:v>doc20621320260704143240.pdf</x:v>
      </x:c>
      <x:c r="V51" s="14" t="str">
        <x:v>2</x:v>
      </x:c>
      <x:c r="W51" s="14" t="str">
        <x:v>VIA REDESPACHO/FLUVIAL em parte dos destinos; revisar</x:v>
      </x:c>
      <x:c r="X51"/>
      <x:c r="Y51"/>
      <x:c r="Z51" t="str">
        <x:v>NÃO</x:v>
      </x:c>
      <x:c r="AA51" t="n">
        <x:v>0</x:v>
      </x:c>
      <x:c r="AB51"/>
      <x:c r="AC51" t="str">
        <x:v>SIM</x:v>
      </x:c>
      <x:c r="AD51" t="str">
        <x:v>JSP</x:v>
      </x:c>
      <x:c r="AE51" s="12" t="str">
        <x:v>PERCENTUAL</x:v>
      </x:c>
      <x:c r="AF51" s="12" t="str">
        <x:v>CTE</x:v>
      </x:c>
      <x:c r="AG51" s="12" t="str">
        <x:v>2.6.46</x:v>
      </x:c>
      <x:c r="AH51" s="12" t="str">
        <x:v>Pedágio JSP informado como 0,00 por CT-e na fonte.</x:v>
      </x:c>
      <x:c r="AI51"/>
    </x:row>
    <x:row r="52">
      <x:c r="A52" s="14" t="str">
        <x:v>JSP_0051</x:v>
      </x:c>
      <x:c r="B52" s="14" t="str">
        <x:v>JSP</x:v>
      </x:c>
      <x:c r="C52" s="14"/>
      <x:c r="D52" s="14"/>
      <x:c r="E52" s="14" t="str">
        <x:v>Marabá</x:v>
      </x:c>
      <x:c r="F52" s="14" t="str">
        <x:v>PA</x:v>
      </x:c>
      <x:c r="G52" s="14" t="str">
        <x:v>Castelo dos Sonhos (Distrito)</x:v>
      </x:c>
      <x:c r="H52" s="14" t="str">
        <x:v>PA</x:v>
      </x:c>
      <x:c r="I52" s="14" t="str">
        <x:v>REGIÃO TAPAJÓS</x:v>
      </x:c>
      <x:c r="J52" s="14"/>
      <x:c r="K52" s="14" t="str">
        <x:v>45%</x:v>
      </x:c>
      <x:c r="L52" s="46" t="n">
        <x:v>100</x:v>
      </x:c>
      <x:c r="M52" s="46" t="str">
        <x:v>0,00 (CT-e)</x:v>
      </x:c>
      <x:c r="N52" s="46"/>
      <x:c r="O52" s="14" t="str">
        <x:v>IMPOSTO/GRIS</x:v>
      </x:c>
      <x:c r="P52" s="14" t="str">
        <x:v>D+8</x:v>
      </x:c>
      <x:c r="Q52" s="14" t="str">
        <x:v>Seg a Sexta</x:v>
      </x:c>
      <x:c r="R52" s="14" t="str">
        <x:v>ORIGINAL</x:v>
      </x:c>
      <x:c r="S52" s="14" t="str">
        <x:v>NÃO</x:v>
      </x:c>
      <x:c r="T52" s="14" t="str">
        <x:v>REVISAR_OK</x:v>
      </x:c>
      <x:c r="U52" s="14" t="str">
        <x:v>doc20621320260704143240.pdf</x:v>
      </x:c>
      <x:c r="V52" s="14" t="str">
        <x:v>2</x:v>
      </x:c>
      <x:c r="W52" s="14" t="str">
        <x:v>VIA REDESPACHO/FLUVIAL em parte dos destinos; revisar</x:v>
      </x:c>
      <x:c r="X52"/>
      <x:c r="Y52"/>
      <x:c r="Z52" t="str">
        <x:v>NÃO</x:v>
      </x:c>
      <x:c r="AA52" t="n">
        <x:v>0</x:v>
      </x:c>
      <x:c r="AB52"/>
      <x:c r="AC52" t="str">
        <x:v>SIM</x:v>
      </x:c>
      <x:c r="AD52" t="str">
        <x:v>JSP</x:v>
      </x:c>
      <x:c r="AE52" s="12" t="str">
        <x:v>PERCENTUAL</x:v>
      </x:c>
      <x:c r="AF52" s="12" t="str">
        <x:v>CTE</x:v>
      </x:c>
      <x:c r="AG52" s="12" t="str">
        <x:v>2.6.46</x:v>
      </x:c>
      <x:c r="AH52" s="12" t="str">
        <x:v>Pedágio JSP informado como 0,00 por CT-e na fonte.</x:v>
      </x:c>
      <x:c r="AI52"/>
    </x:row>
    <x:row r="53">
      <x:c r="A53" s="14" t="str">
        <x:v>JSP_0052</x:v>
      </x:c>
      <x:c r="B53" s="14" t="str">
        <x:v>JSP</x:v>
      </x:c>
      <x:c r="C53" s="14"/>
      <x:c r="D53" s="14"/>
      <x:c r="E53" s="14" t="str">
        <x:v>Marabá</x:v>
      </x:c>
      <x:c r="F53" s="14" t="str">
        <x:v>PA</x:v>
      </x:c>
      <x:c r="G53" s="14" t="str">
        <x:v>Curuá</x:v>
      </x:c>
      <x:c r="H53" s="14" t="str">
        <x:v>PA</x:v>
      </x:c>
      <x:c r="I53" s="14" t="str">
        <x:v>REGIÃO TAPAJÓS</x:v>
      </x:c>
      <x:c r="J53" s="14"/>
      <x:c r="K53" s="14" t="str">
        <x:v>45%</x:v>
      </x:c>
      <x:c r="L53" s="46" t="n">
        <x:v>100</x:v>
      </x:c>
      <x:c r="M53" s="46" t="str">
        <x:v>0,00 (CT-e)</x:v>
      </x:c>
      <x:c r="N53" s="46"/>
      <x:c r="O53" s="14" t="str">
        <x:v>IMPOSTO/GRIS</x:v>
      </x:c>
      <x:c r="P53" s="14" t="str">
        <x:v>D+8</x:v>
      </x:c>
      <x:c r="Q53" s="14" t="str">
        <x:v>Seg a Sexta</x:v>
      </x:c>
      <x:c r="R53" s="14" t="str">
        <x:v>ORIGINAL</x:v>
      </x:c>
      <x:c r="S53" s="14" t="str">
        <x:v>NÃO</x:v>
      </x:c>
      <x:c r="T53" s="14" t="str">
        <x:v>REVISAR_OK</x:v>
      </x:c>
      <x:c r="U53" s="14" t="str">
        <x:v>doc20621320260704143240.pdf</x:v>
      </x:c>
      <x:c r="V53" s="14" t="str">
        <x:v>2</x:v>
      </x:c>
      <x:c r="W53" s="14" t="str">
        <x:v>VIA REDESPACHO/FLUVIAL em parte dos destinos; revisar</x:v>
      </x:c>
      <x:c r="X53"/>
      <x:c r="Y53"/>
      <x:c r="Z53" t="str">
        <x:v>NÃO</x:v>
      </x:c>
      <x:c r="AA53" t="n">
        <x:v>0</x:v>
      </x:c>
      <x:c r="AB53"/>
      <x:c r="AC53" t="str">
        <x:v>SIM</x:v>
      </x:c>
      <x:c r="AD53" t="str">
        <x:v>JSP</x:v>
      </x:c>
      <x:c r="AE53" s="12" t="str">
        <x:v>PERCENTUAL</x:v>
      </x:c>
      <x:c r="AF53" s="12" t="str">
        <x:v>CTE</x:v>
      </x:c>
      <x:c r="AG53" s="12" t="str">
        <x:v>2.6.46</x:v>
      </x:c>
      <x:c r="AH53" s="12" t="str">
        <x:v>Pedágio JSP informado como 0,00 por CT-e na fonte.</x:v>
      </x:c>
      <x:c r="AI53"/>
    </x:row>
    <x:row r="54">
      <x:c r="A54" s="14" t="str">
        <x:v>JSP_0053</x:v>
      </x:c>
      <x:c r="B54" s="14" t="str">
        <x:v>JSP</x:v>
      </x:c>
      <x:c r="C54" s="14"/>
      <x:c r="D54" s="14"/>
      <x:c r="E54" s="14" t="str">
        <x:v>Marabá</x:v>
      </x:c>
      <x:c r="F54" s="14" t="str">
        <x:v>PA</x:v>
      </x:c>
      <x:c r="G54" s="14" t="str">
        <x:v>Juruti</x:v>
      </x:c>
      <x:c r="H54" s="14" t="str">
        <x:v>PA</x:v>
      </x:c>
      <x:c r="I54" s="14" t="str">
        <x:v>REGIÃO TAPAJÓS</x:v>
      </x:c>
      <x:c r="J54" s="14"/>
      <x:c r="K54" s="14" t="str">
        <x:v>45%</x:v>
      </x:c>
      <x:c r="L54" s="46" t="n">
        <x:v>100</x:v>
      </x:c>
      <x:c r="M54" s="46" t="str">
        <x:v>0,00 (CT-e)</x:v>
      </x:c>
      <x:c r="N54" s="46"/>
      <x:c r="O54" s="14" t="str">
        <x:v>IMPOSTO/GRIS</x:v>
      </x:c>
      <x:c r="P54" s="14" t="str">
        <x:v>D+8</x:v>
      </x:c>
      <x:c r="Q54" s="14" t="str">
        <x:v>Seg a Sexta</x:v>
      </x:c>
      <x:c r="R54" s="14" t="str">
        <x:v>ORIGINAL</x:v>
      </x:c>
      <x:c r="S54" s="14" t="str">
        <x:v>NÃO</x:v>
      </x:c>
      <x:c r="T54" s="14" t="str">
        <x:v>REVISAR_OK</x:v>
      </x:c>
      <x:c r="U54" s="14" t="str">
        <x:v>doc20621320260704143240.pdf</x:v>
      </x:c>
      <x:c r="V54" s="14" t="str">
        <x:v>2</x:v>
      </x:c>
      <x:c r="W54" s="14" t="str">
        <x:v>VIA REDESPACHO/FLUVIAL em parte dos destinos; revisar</x:v>
      </x:c>
      <x:c r="X54"/>
      <x:c r="Y54"/>
      <x:c r="Z54" t="str">
        <x:v>NÃO</x:v>
      </x:c>
      <x:c r="AA54" t="n">
        <x:v>0</x:v>
      </x:c>
      <x:c r="AB54"/>
      <x:c r="AC54" t="str">
        <x:v>SIM</x:v>
      </x:c>
      <x:c r="AD54" t="str">
        <x:v>JSP</x:v>
      </x:c>
      <x:c r="AE54" s="12" t="str">
        <x:v>PERCENTUAL</x:v>
      </x:c>
      <x:c r="AF54" s="12" t="str">
        <x:v>CTE</x:v>
      </x:c>
      <x:c r="AG54" s="12" t="str">
        <x:v>2.6.46</x:v>
      </x:c>
      <x:c r="AH54" s="12" t="str">
        <x:v>Pedágio JSP informado como 0,00 por CT-e na fonte.</x:v>
      </x:c>
      <x:c r="AI54"/>
    </x:row>
    <x:row r="55">
      <x:c r="A55" s="14" t="str">
        <x:v>JSP_0054</x:v>
      </x:c>
      <x:c r="B55" s="14" t="str">
        <x:v>JSP</x:v>
      </x:c>
      <x:c r="C55" s="14"/>
      <x:c r="D55" s="14"/>
      <x:c r="E55" s="14" t="str">
        <x:v>Marabá</x:v>
      </x:c>
      <x:c r="F55" s="14" t="str">
        <x:v>PA</x:v>
      </x:c>
      <x:c r="G55" s="14" t="str">
        <x:v>Monte Alegre</x:v>
      </x:c>
      <x:c r="H55" s="14" t="str">
        <x:v>PA</x:v>
      </x:c>
      <x:c r="I55" s="14" t="str">
        <x:v>REGIÃO TAPAJÓS</x:v>
      </x:c>
      <x:c r="J55" s="14"/>
      <x:c r="K55" s="14" t="str">
        <x:v>45%</x:v>
      </x:c>
      <x:c r="L55" s="46" t="n">
        <x:v>100</x:v>
      </x:c>
      <x:c r="M55" s="46" t="str">
        <x:v>0,00 (CT-e)</x:v>
      </x:c>
      <x:c r="N55" s="46"/>
      <x:c r="O55" s="14" t="str">
        <x:v>IMPOSTO/GRIS</x:v>
      </x:c>
      <x:c r="P55" s="14" t="str">
        <x:v>D+8</x:v>
      </x:c>
      <x:c r="Q55" s="14" t="str">
        <x:v>Seg a Sexta</x:v>
      </x:c>
      <x:c r="R55" s="14" t="str">
        <x:v>ORIGINAL</x:v>
      </x:c>
      <x:c r="S55" s="14" t="str">
        <x:v>NÃO</x:v>
      </x:c>
      <x:c r="T55" s="14" t="str">
        <x:v>REVISAR_OK</x:v>
      </x:c>
      <x:c r="U55" s="14" t="str">
        <x:v>doc20621320260704143240.pdf</x:v>
      </x:c>
      <x:c r="V55" s="14" t="str">
        <x:v>2</x:v>
      </x:c>
      <x:c r="W55" s="14" t="str">
        <x:v>VIA REDESPACHO/FLUVIAL em parte dos destinos; revisar</x:v>
      </x:c>
      <x:c r="X55"/>
      <x:c r="Y55"/>
      <x:c r="Z55" t="str">
        <x:v>NÃO</x:v>
      </x:c>
      <x:c r="AA55" t="n">
        <x:v>0</x:v>
      </x:c>
      <x:c r="AB55"/>
      <x:c r="AC55" t="str">
        <x:v>SIM</x:v>
      </x:c>
      <x:c r="AD55" t="str">
        <x:v>JSP</x:v>
      </x:c>
      <x:c r="AE55" s="12" t="str">
        <x:v>PERCENTUAL</x:v>
      </x:c>
      <x:c r="AF55" s="12" t="str">
        <x:v>CTE</x:v>
      </x:c>
      <x:c r="AG55" s="12" t="str">
        <x:v>2.6.46</x:v>
      </x:c>
      <x:c r="AH55" s="12" t="str">
        <x:v>Pedágio JSP informado como 0,00 por CT-e na fonte.</x:v>
      </x:c>
      <x:c r="AI55"/>
    </x:row>
    <x:row r="56">
      <x:c r="A56" s="14" t="str">
        <x:v>JSP_0055</x:v>
      </x:c>
      <x:c r="B56" s="14" t="str">
        <x:v>JSP</x:v>
      </x:c>
      <x:c r="C56" s="14"/>
      <x:c r="D56" s="14"/>
      <x:c r="E56" s="14" t="str">
        <x:v>Marabá</x:v>
      </x:c>
      <x:c r="F56" s="14" t="str">
        <x:v>PA</x:v>
      </x:c>
      <x:c r="G56" s="14" t="str">
        <x:v>Óbidos</x:v>
      </x:c>
      <x:c r="H56" s="14" t="str">
        <x:v>PA</x:v>
      </x:c>
      <x:c r="I56" s="14" t="str">
        <x:v>REGIÃO TAPAJÓS</x:v>
      </x:c>
      <x:c r="J56" s="14"/>
      <x:c r="K56" s="14" t="str">
        <x:v>45%</x:v>
      </x:c>
      <x:c r="L56" s="46" t="n">
        <x:v>100</x:v>
      </x:c>
      <x:c r="M56" s="46" t="str">
        <x:v>0,00 (CT-e)</x:v>
      </x:c>
      <x:c r="N56" s="46"/>
      <x:c r="O56" s="14" t="str">
        <x:v>IMPOSTO/GRIS</x:v>
      </x:c>
      <x:c r="P56" s="14" t="str">
        <x:v>D+8</x:v>
      </x:c>
      <x:c r="Q56" s="14" t="str">
        <x:v>Seg a Sexta</x:v>
      </x:c>
      <x:c r="R56" s="14" t="str">
        <x:v>ORIGINAL</x:v>
      </x:c>
      <x:c r="S56" s="14" t="str">
        <x:v>NÃO</x:v>
      </x:c>
      <x:c r="T56" s="14" t="str">
        <x:v>REVISAR_OK</x:v>
      </x:c>
      <x:c r="U56" s="14" t="str">
        <x:v>doc20621320260704143240.pdf</x:v>
      </x:c>
      <x:c r="V56" s="14" t="str">
        <x:v>2</x:v>
      </x:c>
      <x:c r="W56" s="14" t="str">
        <x:v>VIA REDESPACHO/FLUVIAL em parte dos destinos; revisar</x:v>
      </x:c>
      <x:c r="X56"/>
      <x:c r="Y56"/>
      <x:c r="Z56" t="str">
        <x:v>NÃO</x:v>
      </x:c>
      <x:c r="AA56" t="n">
        <x:v>0</x:v>
      </x:c>
      <x:c r="AB56"/>
      <x:c r="AC56" t="str">
        <x:v>SIM</x:v>
      </x:c>
      <x:c r="AD56" t="str">
        <x:v>JSP</x:v>
      </x:c>
      <x:c r="AE56" s="12" t="str">
        <x:v>PERCENTUAL</x:v>
      </x:c>
      <x:c r="AF56" s="12" t="str">
        <x:v>CTE</x:v>
      </x:c>
      <x:c r="AG56" s="12" t="str">
        <x:v>2.6.46</x:v>
      </x:c>
      <x:c r="AH56" s="12" t="str">
        <x:v>Pedágio JSP informado como 0,00 por CT-e na fonte.</x:v>
      </x:c>
      <x:c r="AI56"/>
    </x:row>
    <x:row r="57">
      <x:c r="A57" s="14" t="str">
        <x:v>JSP_0056</x:v>
      </x:c>
      <x:c r="B57" s="14" t="str">
        <x:v>JSP</x:v>
      </x:c>
      <x:c r="C57" s="14"/>
      <x:c r="D57" s="14"/>
      <x:c r="E57" s="14" t="str">
        <x:v>Marabá</x:v>
      </x:c>
      <x:c r="F57" s="14" t="str">
        <x:v>PA</x:v>
      </x:c>
      <x:c r="G57" s="14" t="str">
        <x:v>Oriximiná</x:v>
      </x:c>
      <x:c r="H57" s="14" t="str">
        <x:v>PA</x:v>
      </x:c>
      <x:c r="I57" s="14" t="str">
        <x:v>REGIÃO TAPAJÓS</x:v>
      </x:c>
      <x:c r="J57" s="14"/>
      <x:c r="K57" s="14" t="str">
        <x:v>45%</x:v>
      </x:c>
      <x:c r="L57" s="46" t="n">
        <x:v>100</x:v>
      </x:c>
      <x:c r="M57" s="46" t="str">
        <x:v>0,00 (CT-e)</x:v>
      </x:c>
      <x:c r="N57" s="46"/>
      <x:c r="O57" s="14" t="str">
        <x:v>IMPOSTO/GRIS</x:v>
      </x:c>
      <x:c r="P57" s="14" t="str">
        <x:v>D+8</x:v>
      </x:c>
      <x:c r="Q57" s="14" t="str">
        <x:v>Seg a Sexta</x:v>
      </x:c>
      <x:c r="R57" s="14" t="str">
        <x:v>ORIGINAL</x:v>
      </x:c>
      <x:c r="S57" s="14" t="str">
        <x:v>NÃO</x:v>
      </x:c>
      <x:c r="T57" s="14" t="str">
        <x:v>REVISAR_OK</x:v>
      </x:c>
      <x:c r="U57" s="14" t="str">
        <x:v>doc20621320260704143240.pdf</x:v>
      </x:c>
      <x:c r="V57" s="14" t="str">
        <x:v>2</x:v>
      </x:c>
      <x:c r="W57" s="14" t="str">
        <x:v>VIA REDESPACHO/FLUVIAL em parte dos destinos; revisar</x:v>
      </x:c>
      <x:c r="X57"/>
      <x:c r="Y57"/>
      <x:c r="Z57" t="str">
        <x:v>NÃO</x:v>
      </x:c>
      <x:c r="AA57" t="n">
        <x:v>0</x:v>
      </x:c>
      <x:c r="AB57"/>
      <x:c r="AC57" t="str">
        <x:v>SIM</x:v>
      </x:c>
      <x:c r="AD57" t="str">
        <x:v>JSP</x:v>
      </x:c>
      <x:c r="AE57" s="12" t="str">
        <x:v>PERCENTUAL</x:v>
      </x:c>
      <x:c r="AF57" s="12" t="str">
        <x:v>CTE</x:v>
      </x:c>
      <x:c r="AG57" s="12" t="str">
        <x:v>2.6.46</x:v>
      </x:c>
      <x:c r="AH57" s="12" t="str">
        <x:v>Pedágio JSP informado como 0,00 por CT-e na fonte.</x:v>
      </x:c>
      <x:c r="AI57"/>
    </x:row>
    <x:row r="58">
      <x:c r="A58" s="14" t="str">
        <x:v>JSP_0057</x:v>
      </x:c>
      <x:c r="B58" s="14" t="str">
        <x:v>JSP</x:v>
      </x:c>
      <x:c r="C58" s="14"/>
      <x:c r="D58" s="14"/>
      <x:c r="E58" s="14" t="str">
        <x:v>Marabá</x:v>
      </x:c>
      <x:c r="F58" s="14" t="str">
        <x:v>PA</x:v>
      </x:c>
      <x:c r="G58" s="14" t="str">
        <x:v>Prainha</x:v>
      </x:c>
      <x:c r="H58" s="14" t="str">
        <x:v>PA</x:v>
      </x:c>
      <x:c r="I58" s="14" t="str">
        <x:v>REGIÃO TAPAJÓS</x:v>
      </x:c>
      <x:c r="J58" s="14"/>
      <x:c r="K58" s="14" t="str">
        <x:v>45%</x:v>
      </x:c>
      <x:c r="L58" s="46" t="n">
        <x:v>100</x:v>
      </x:c>
      <x:c r="M58" s="46" t="str">
        <x:v>0,00 (CT-e)</x:v>
      </x:c>
      <x:c r="N58" s="46"/>
      <x:c r="O58" s="14" t="str">
        <x:v>IMPOSTO/GRIS</x:v>
      </x:c>
      <x:c r="P58" s="14" t="str">
        <x:v>D+8</x:v>
      </x:c>
      <x:c r="Q58" s="14" t="str">
        <x:v>Seg a Sexta</x:v>
      </x:c>
      <x:c r="R58" s="14" t="str">
        <x:v>ORIGINAL</x:v>
      </x:c>
      <x:c r="S58" s="14" t="str">
        <x:v>NÃO</x:v>
      </x:c>
      <x:c r="T58" s="14" t="str">
        <x:v>REVISAR_OK</x:v>
      </x:c>
      <x:c r="U58" s="14" t="str">
        <x:v>doc20621320260704143240.pdf</x:v>
      </x:c>
      <x:c r="V58" s="14" t="str">
        <x:v>2</x:v>
      </x:c>
      <x:c r="W58" s="14" t="str">
        <x:v>VIA REDESPACHO/FLUVIAL em parte dos destinos; revisar</x:v>
      </x:c>
      <x:c r="X58"/>
      <x:c r="Y58"/>
      <x:c r="Z58" t="str">
        <x:v>NÃO</x:v>
      </x:c>
      <x:c r="AA58" t="n">
        <x:v>0</x:v>
      </x:c>
      <x:c r="AB58"/>
      <x:c r="AC58" t="str">
        <x:v>SIM</x:v>
      </x:c>
      <x:c r="AD58" t="str">
        <x:v>JSP</x:v>
      </x:c>
      <x:c r="AE58" s="12" t="str">
        <x:v>PERCENTUAL</x:v>
      </x:c>
      <x:c r="AF58" s="12" t="str">
        <x:v>CTE</x:v>
      </x:c>
      <x:c r="AG58" s="12" t="str">
        <x:v>2.6.46</x:v>
      </x:c>
      <x:c r="AH58" s="12" t="str">
        <x:v>Pedágio JSP informado como 0,00 por CT-e na fonte.</x:v>
      </x:c>
      <x:c r="AI58"/>
    </x:row>
    <x:row r="59">
      <x:c r="A59" s="14" t="str">
        <x:v>JSP_0058</x:v>
      </x:c>
      <x:c r="B59" s="14" t="str">
        <x:v>JSP</x:v>
      </x:c>
      <x:c r="C59" s="14"/>
      <x:c r="D59" s="14"/>
      <x:c r="E59" s="14" t="str">
        <x:v>Marabá</x:v>
      </x:c>
      <x:c r="F59" s="14" t="str">
        <x:v>PA</x:v>
      </x:c>
      <x:c r="G59" s="14" t="str">
        <x:v>Terra Santa</x:v>
      </x:c>
      <x:c r="H59" s="14" t="str">
        <x:v>PA</x:v>
      </x:c>
      <x:c r="I59" s="14" t="str">
        <x:v>REGIÃO TAPAJÓS</x:v>
      </x:c>
      <x:c r="J59" s="14"/>
      <x:c r="K59" s="14" t="str">
        <x:v>45%</x:v>
      </x:c>
      <x:c r="L59" s="46" t="n">
        <x:v>100</x:v>
      </x:c>
      <x:c r="M59" s="46" t="str">
        <x:v>0,00 (CT-e)</x:v>
      </x:c>
      <x:c r="N59" s="46"/>
      <x:c r="O59" s="14" t="str">
        <x:v>IMPOSTO/GRIS</x:v>
      </x:c>
      <x:c r="P59" s="14" t="str">
        <x:v>D+8</x:v>
      </x:c>
      <x:c r="Q59" s="14" t="str">
        <x:v>Seg a Sexta</x:v>
      </x:c>
      <x:c r="R59" s="14" t="str">
        <x:v>ORIGINAL</x:v>
      </x:c>
      <x:c r="S59" s="14" t="str">
        <x:v>NÃO</x:v>
      </x:c>
      <x:c r="T59" s="14" t="str">
        <x:v>REVISAR_OK</x:v>
      </x:c>
      <x:c r="U59" s="14" t="str">
        <x:v>doc20621320260704143240.pdf</x:v>
      </x:c>
      <x:c r="V59" s="14" t="str">
        <x:v>2</x:v>
      </x:c>
      <x:c r="W59" s="14" t="str">
        <x:v>VIA REDESPACHO/FLUVIAL em parte dos destinos; revisar</x:v>
      </x:c>
      <x:c r="X59"/>
      <x:c r="Y59"/>
      <x:c r="Z59" t="str">
        <x:v>NÃO</x:v>
      </x:c>
      <x:c r="AA59" t="n">
        <x:v>0</x:v>
      </x:c>
      <x:c r="AB59"/>
      <x:c r="AC59" t="str">
        <x:v>SIM</x:v>
      </x:c>
      <x:c r="AD59" t="str">
        <x:v>JSP</x:v>
      </x:c>
      <x:c r="AE59" s="12" t="str">
        <x:v>PERCENTUAL</x:v>
      </x:c>
      <x:c r="AF59" s="12" t="str">
        <x:v>CTE</x:v>
      </x:c>
      <x:c r="AG59" s="12" t="str">
        <x:v>2.6.46</x:v>
      </x:c>
      <x:c r="AH59" s="12" t="str">
        <x:v>Pedágio JSP informado como 0,00 por CT-e na fonte.</x:v>
      </x:c>
      <x:c r="AI59"/>
    </x:row>
    <x:row r="60">
      <x:c r="A60" s="14" t="str">
        <x:v>JSP_0059</x:v>
      </x:c>
      <x:c r="B60" s="14" t="str">
        <x:v>JSP</x:v>
      </x:c>
      <x:c r="C60" s="14"/>
      <x:c r="D60" s="14"/>
      <x:c r="E60" s="14" t="str">
        <x:v>Marabá</x:v>
      </x:c>
      <x:c r="F60" s="14" t="str">
        <x:v>PA</x:v>
      </x:c>
      <x:c r="G60" s="14" t="str">
        <x:v>Trairão</x:v>
      </x:c>
      <x:c r="H60" s="14" t="str">
        <x:v>PA</x:v>
      </x:c>
      <x:c r="I60" s="14" t="str">
        <x:v>REGIÃO TAPAJÓS</x:v>
      </x:c>
      <x:c r="J60" s="14"/>
      <x:c r="K60" s="14" t="str">
        <x:v>45%</x:v>
      </x:c>
      <x:c r="L60" s="46" t="n">
        <x:v>100</x:v>
      </x:c>
      <x:c r="M60" s="46" t="str">
        <x:v>0,00 (CT-e)</x:v>
      </x:c>
      <x:c r="N60" s="46"/>
      <x:c r="O60" s="14" t="str">
        <x:v>IMPOSTO/GRIS</x:v>
      </x:c>
      <x:c r="P60" s="14" t="str">
        <x:v>D+8</x:v>
      </x:c>
      <x:c r="Q60" s="14" t="str">
        <x:v>Seg a Sexta</x:v>
      </x:c>
      <x:c r="R60" s="14" t="str">
        <x:v>ORIGINAL</x:v>
      </x:c>
      <x:c r="S60" s="14" t="str">
        <x:v>NÃO</x:v>
      </x:c>
      <x:c r="T60" s="14" t="str">
        <x:v>REVISAR_OK</x:v>
      </x:c>
      <x:c r="U60" s="14" t="str">
        <x:v>doc20621320260704143240.pdf</x:v>
      </x:c>
      <x:c r="V60" s="14" t="str">
        <x:v>2</x:v>
      </x:c>
      <x:c r="W60" s="14" t="str">
        <x:v>VIA REDESPACHO/FLUVIAL em parte dos destinos; revisar</x:v>
      </x:c>
      <x:c r="X60"/>
      <x:c r="Y60"/>
      <x:c r="Z60" t="str">
        <x:v>NÃO</x:v>
      </x:c>
      <x:c r="AA60" t="n">
        <x:v>0</x:v>
      </x:c>
      <x:c r="AB60"/>
      <x:c r="AC60" t="str">
        <x:v>SIM</x:v>
      </x:c>
      <x:c r="AD60" t="str">
        <x:v>JSP</x:v>
      </x:c>
      <x:c r="AE60" s="12" t="str">
        <x:v>PERCENTUAL</x:v>
      </x:c>
      <x:c r="AF60" s="12" t="str">
        <x:v>CTE</x:v>
      </x:c>
      <x:c r="AG60" s="12" t="str">
        <x:v>2.6.46</x:v>
      </x:c>
      <x:c r="AH60" s="12" t="str">
        <x:v>Pedágio JSP informado como 0,00 por CT-e na fonte.</x:v>
      </x:c>
      <x:c r="AI60"/>
    </x:row>
    <x:row r="61">
      <x:c r="A61" s="14" t="str">
        <x:v>AMM_0060</x:v>
      </x:c>
      <x:c r="B61" s="14" t="str">
        <x:v>AMM</x:v>
      </x:c>
      <x:c r="C61" s="14"/>
      <x:c r="D61" s="14"/>
      <x:c r="E61" s="14" t="str">
        <x:v>Marabá</x:v>
      </x:c>
      <x:c r="F61" s="14" t="str">
        <x:v>PA</x:v>
      </x:c>
      <x:c r="G61" s="14" t="str">
        <x:v>Palestina</x:v>
      </x:c>
      <x:c r="H61" s="14" t="str">
        <x:v>PA</x:v>
      </x:c>
      <x:c r="I61" s="14" t="str">
        <x:v>Rota para Parazão D+1</x:v>
      </x:c>
      <x:c r="J61" s="14"/>
      <x:c r="K61" s="14" t="str">
        <x:v>35%</x:v>
      </x:c>
      <x:c r="L61" s="46" t="n">
        <x:v>70</x:v>
      </x:c>
      <x:c r="M61" s="46"/>
      <x:c r="N61" s="46"/>
      <x:c r="O61" s="14"/>
      <x:c r="P61" s="14"/>
      <x:c r="Q61" s="14"/>
      <x:c r="R61" s="14" t="str">
        <x:v>ORIGINAL</x:v>
      </x:c>
      <x:c r="S61" s="14" t="str">
        <x:v>NÃO</x:v>
      </x:c>
      <x:c r="T61" s="14" t="str">
        <x:v>REVISAR_OK</x:v>
      </x:c>
      <x:c r="U61" s="14" t="str">
        <x:v>doc20621420260704143258.pdf</x:v>
      </x:c>
      <x:c r="V61" s="14" t="str">
        <x:v>1</x:v>
      </x:c>
      <x:c r="W61" s="14" t="str">
        <x:v>Tabela informa 35% com mínima R$70,00</x:v>
      </x:c>
      <x:c r="X61"/>
      <x:c r="Y61"/>
      <x:c r="Z61"/>
      <x:c r="AA61"/>
      <x:c r="AB61"/>
      <x:c r="AC61" t="str">
        <x:v>SIM</x:v>
      </x:c>
      <x:c r="AD61" t="str">
        <x:v>AMM</x:v>
      </x:c>
      <x:c r="AE61" s="12" t="str">
        <x:v>PERCENTUAL</x:v>
      </x:c>
      <x:c r="AF61" s="12"/>
      <x:c r="AG61" s="12" t="str">
        <x:v>2.6.44</x:v>
      </x:c>
      <x:c r="AH61" s="12" t="str">
        <x:v>Frete base × percentual; aplicar frete mínimo quando maior. Bloco percentual ativado; controle visual passivo.</x:v>
      </x:c>
      <x:c r="AI61"/>
    </x:row>
    <x:row r="62">
      <x:c r="A62" s="14" t="str">
        <x:v>AMM_0061</x:v>
      </x:c>
      <x:c r="B62" s="14" t="str">
        <x:v>AMM</x:v>
      </x:c>
      <x:c r="C62" s="14"/>
      <x:c r="D62" s="14"/>
      <x:c r="E62" s="14" t="str">
        <x:v>Marabá</x:v>
      </x:c>
      <x:c r="F62" s="14" t="str">
        <x:v>PA</x:v>
      </x:c>
      <x:c r="G62" s="14" t="str">
        <x:v>Brejo Grande</x:v>
      </x:c>
      <x:c r="H62" s="14" t="str">
        <x:v>PA</x:v>
      </x:c>
      <x:c r="I62" s="14" t="str">
        <x:v>Rota para Parazão D+1</x:v>
      </x:c>
      <x:c r="J62" s="14"/>
      <x:c r="K62" s="14" t="str">
        <x:v>35%</x:v>
      </x:c>
      <x:c r="L62" s="46" t="n">
        <x:v>70</x:v>
      </x:c>
      <x:c r="M62" s="46"/>
      <x:c r="N62" s="46"/>
      <x:c r="O62" s="14"/>
      <x:c r="P62" s="14"/>
      <x:c r="Q62" s="14"/>
      <x:c r="R62" s="14" t="str">
        <x:v>ORIGINAL</x:v>
      </x:c>
      <x:c r="S62" s="14" t="str">
        <x:v>NÃO</x:v>
      </x:c>
      <x:c r="T62" s="14" t="str">
        <x:v>REVISAR_OK</x:v>
      </x:c>
      <x:c r="U62" s="14" t="str">
        <x:v>doc20621420260704143258.pdf</x:v>
      </x:c>
      <x:c r="V62" s="14" t="str">
        <x:v>1</x:v>
      </x:c>
      <x:c r="W62" s="14" t="str">
        <x:v>Tabela informa 35% com mínima R$70,00</x:v>
      </x:c>
      <x:c r="X62"/>
      <x:c r="Y62"/>
      <x:c r="Z62"/>
      <x:c r="AA62"/>
      <x:c r="AB62"/>
      <x:c r="AC62" t="str">
        <x:v>SIM</x:v>
      </x:c>
      <x:c r="AD62" t="str">
        <x:v>AMM</x:v>
      </x:c>
      <x:c r="AE62" s="12" t="str">
        <x:v>PERCENTUAL</x:v>
      </x:c>
      <x:c r="AF62" s="12"/>
      <x:c r="AG62" s="12" t="str">
        <x:v>2.6.44</x:v>
      </x:c>
      <x:c r="AH62" s="12" t="str">
        <x:v>Frete base × percentual; aplicar frete mínimo quando maior. Bloco percentual ativado; controle visual passivo.</x:v>
      </x:c>
      <x:c r="AI62"/>
    </x:row>
    <x:row r="63">
      <x:c r="A63" s="14" t="str">
        <x:v>AMM_0062</x:v>
      </x:c>
      <x:c r="B63" s="14" t="str">
        <x:v>AMM</x:v>
      </x:c>
      <x:c r="C63" s="14"/>
      <x:c r="D63" s="14"/>
      <x:c r="E63" s="14" t="str">
        <x:v>Marabá</x:v>
      </x:c>
      <x:c r="F63" s="14" t="str">
        <x:v>PA</x:v>
      </x:c>
      <x:c r="G63" s="14" t="str">
        <x:v>São Domingos</x:v>
      </x:c>
      <x:c r="H63" s="14" t="str">
        <x:v>PA</x:v>
      </x:c>
      <x:c r="I63" s="14" t="str">
        <x:v>Rota para Parazão D+1</x:v>
      </x:c>
      <x:c r="J63" s="14"/>
      <x:c r="K63" s="14" t="str">
        <x:v>35%</x:v>
      </x:c>
      <x:c r="L63" s="46" t="n">
        <x:v>70</x:v>
      </x:c>
      <x:c r="M63" s="46"/>
      <x:c r="N63" s="46"/>
      <x:c r="O63" s="14"/>
      <x:c r="P63" s="14"/>
      <x:c r="Q63" s="14"/>
      <x:c r="R63" s="14" t="str">
        <x:v>ORIGINAL</x:v>
      </x:c>
      <x:c r="S63" s="14" t="str">
        <x:v>NÃO</x:v>
      </x:c>
      <x:c r="T63" s="14" t="str">
        <x:v>REVISAR_OK</x:v>
      </x:c>
      <x:c r="U63" s="14" t="str">
        <x:v>doc20621420260704143258.pdf</x:v>
      </x:c>
      <x:c r="V63" s="14" t="str">
        <x:v>1</x:v>
      </x:c>
      <x:c r="W63" s="14" t="str">
        <x:v>Tabela informa 35% com mínima R$70,00</x:v>
      </x:c>
      <x:c r="X63"/>
      <x:c r="Y63"/>
      <x:c r="Z63"/>
      <x:c r="AA63"/>
      <x:c r="AB63"/>
      <x:c r="AC63" t="str">
        <x:v>SIM</x:v>
      </x:c>
      <x:c r="AD63" t="str">
        <x:v>AMM</x:v>
      </x:c>
      <x:c r="AE63" s="12" t="str">
        <x:v>PERCENTUAL</x:v>
      </x:c>
      <x:c r="AF63" s="12"/>
      <x:c r="AG63" s="12" t="str">
        <x:v>2.6.44</x:v>
      </x:c>
      <x:c r="AH63" s="12" t="str">
        <x:v>Frete base × percentual; aplicar frete mínimo quando maior. Bloco percentual ativado; controle visual passivo.</x:v>
      </x:c>
      <x:c r="AI63"/>
    </x:row>
    <x:row r="64">
      <x:c r="A64" s="14" t="str">
        <x:v>AMM_0063</x:v>
      </x:c>
      <x:c r="B64" s="14" t="str">
        <x:v>AMM</x:v>
      </x:c>
      <x:c r="C64" s="14"/>
      <x:c r="D64" s="14"/>
      <x:c r="E64" s="14" t="str">
        <x:v>Marabá</x:v>
      </x:c>
      <x:c r="F64" s="14" t="str">
        <x:v>PA</x:v>
      </x:c>
      <x:c r="G64" s="14" t="str">
        <x:v>São Geraldo</x:v>
      </x:c>
      <x:c r="H64" s="14" t="str">
        <x:v>PA</x:v>
      </x:c>
      <x:c r="I64" s="14" t="str">
        <x:v>Rota para Parazão D+1</x:v>
      </x:c>
      <x:c r="J64" s="14"/>
      <x:c r="K64" s="14" t="str">
        <x:v>35%</x:v>
      </x:c>
      <x:c r="L64" s="46" t="n">
        <x:v>70</x:v>
      </x:c>
      <x:c r="M64" s="46"/>
      <x:c r="N64" s="46"/>
      <x:c r="O64" s="14"/>
      <x:c r="P64" s="14"/>
      <x:c r="Q64" s="14"/>
      <x:c r="R64" s="14" t="str">
        <x:v>ORIGINAL</x:v>
      </x:c>
      <x:c r="S64" s="14" t="str">
        <x:v>NÃO</x:v>
      </x:c>
      <x:c r="T64" s="14" t="str">
        <x:v>REVISAR_OK</x:v>
      </x:c>
      <x:c r="U64" s="14" t="str">
        <x:v>doc20621420260704143258.pdf</x:v>
      </x:c>
      <x:c r="V64" s="14" t="str">
        <x:v>1</x:v>
      </x:c>
      <x:c r="W64" s="14" t="str">
        <x:v>Tabela informa 35% com mínima R$70,00</x:v>
      </x:c>
      <x:c r="X64"/>
      <x:c r="Y64"/>
      <x:c r="Z64"/>
      <x:c r="AA64"/>
      <x:c r="AB64"/>
      <x:c r="AC64" t="str">
        <x:v>SIM</x:v>
      </x:c>
      <x:c r="AD64" t="str">
        <x:v>AMM</x:v>
      </x:c>
      <x:c r="AE64" s="12" t="str">
        <x:v>PERCENTUAL</x:v>
      </x:c>
      <x:c r="AF64" s="12"/>
      <x:c r="AG64" s="12" t="str">
        <x:v>2.6.44</x:v>
      </x:c>
      <x:c r="AH64" s="12" t="str">
        <x:v>Frete base × percentual; aplicar frete mínimo quando maior. Bloco percentual ativado; controle visual passivo.</x:v>
      </x:c>
      <x:c r="AI64"/>
    </x:row>
    <x:row r="65">
      <x:c r="A65" s="14" t="str">
        <x:v>AMM_0064</x:v>
      </x:c>
      <x:c r="B65" s="14" t="str">
        <x:v>AMM</x:v>
      </x:c>
      <x:c r="C65" s="14"/>
      <x:c r="D65" s="14"/>
      <x:c r="E65" s="14" t="str">
        <x:v>Marabá</x:v>
      </x:c>
      <x:c r="F65" s="14" t="str">
        <x:v>PA</x:v>
      </x:c>
      <x:c r="G65" s="14" t="str">
        <x:v>Piçarra</x:v>
      </x:c>
      <x:c r="H65" s="14" t="str">
        <x:v>PA</x:v>
      </x:c>
      <x:c r="I65" s="14" t="str">
        <x:v>Rota para Parazão D+1</x:v>
      </x:c>
      <x:c r="J65" s="14"/>
      <x:c r="K65" s="14" t="str">
        <x:v>35%</x:v>
      </x:c>
      <x:c r="L65" s="46" t="n">
        <x:v>70</x:v>
      </x:c>
      <x:c r="M65" s="46"/>
      <x:c r="N65" s="46"/>
      <x:c r="O65" s="14"/>
      <x:c r="P65" s="14"/>
      <x:c r="Q65" s="14"/>
      <x:c r="R65" s="14" t="str">
        <x:v>ORIGINAL</x:v>
      </x:c>
      <x:c r="S65" s="14" t="str">
        <x:v>NÃO</x:v>
      </x:c>
      <x:c r="T65" s="14" t="str">
        <x:v>REVISAR_OK</x:v>
      </x:c>
      <x:c r="U65" s="14" t="str">
        <x:v>doc20621420260704143258.pdf</x:v>
      </x:c>
      <x:c r="V65" s="14" t="str">
        <x:v>1</x:v>
      </x:c>
      <x:c r="W65" s="14" t="str">
        <x:v>Tabela informa 35% com mínima R$70,00</x:v>
      </x:c>
      <x:c r="X65"/>
      <x:c r="Y65"/>
      <x:c r="Z65"/>
      <x:c r="AA65"/>
      <x:c r="AB65"/>
      <x:c r="AC65" t="str">
        <x:v>SIM</x:v>
      </x:c>
      <x:c r="AD65" t="str">
        <x:v>AMM</x:v>
      </x:c>
      <x:c r="AE65" s="12" t="str">
        <x:v>PERCENTUAL</x:v>
      </x:c>
      <x:c r="AF65" s="12"/>
      <x:c r="AG65" s="12" t="str">
        <x:v>2.6.44</x:v>
      </x:c>
      <x:c r="AH65" s="12" t="str">
        <x:v>Frete base × percentual; aplicar frete mínimo quando maior. Bloco percentual ativado; controle visual passivo.</x:v>
      </x:c>
      <x:c r="AI65"/>
    </x:row>
    <x:row r="66">
      <x:c r="A66" s="14" t="str">
        <x:v>AMM_0065</x:v>
      </x:c>
      <x:c r="B66" s="14" t="str">
        <x:v>AMM</x:v>
      </x:c>
      <x:c r="C66" s="14"/>
      <x:c r="D66" s="14"/>
      <x:c r="E66" s="14" t="str">
        <x:v>Marabá</x:v>
      </x:c>
      <x:c r="F66" s="14" t="str">
        <x:v>PA</x:v>
      </x:c>
      <x:c r="G66" s="14" t="str">
        <x:v>São João do Araguaia</x:v>
      </x:c>
      <x:c r="H66" s="14" t="str">
        <x:v>PA</x:v>
      </x:c>
      <x:c r="I66" s="14" t="str">
        <x:v>Rota para Parazão D+1</x:v>
      </x:c>
      <x:c r="J66" s="14"/>
      <x:c r="K66" s="14" t="str">
        <x:v>35%</x:v>
      </x:c>
      <x:c r="L66" s="46" t="n">
        <x:v>70</x:v>
      </x:c>
      <x:c r="M66" s="46"/>
      <x:c r="N66" s="46"/>
      <x:c r="O66" s="14"/>
      <x:c r="P66" s="14"/>
      <x:c r="Q66" s="14"/>
      <x:c r="R66" s="14" t="str">
        <x:v>ORIGINAL</x:v>
      </x:c>
      <x:c r="S66" s="14" t="str">
        <x:v>NÃO</x:v>
      </x:c>
      <x:c r="T66" s="14" t="str">
        <x:v>REVISAR_OK</x:v>
      </x:c>
      <x:c r="U66" s="14" t="str">
        <x:v>doc20621420260704143258.pdf</x:v>
      </x:c>
      <x:c r="V66" s="14" t="str">
        <x:v>1</x:v>
      </x:c>
      <x:c r="W66" s="14" t="str">
        <x:v>Tabela informa 35% com mínima R$70,00</x:v>
      </x:c>
      <x:c r="X66"/>
      <x:c r="Y66"/>
      <x:c r="Z66"/>
      <x:c r="AA66"/>
      <x:c r="AB66"/>
      <x:c r="AC66" t="str">
        <x:v>SIM</x:v>
      </x:c>
      <x:c r="AD66" t="str">
        <x:v>AMM</x:v>
      </x:c>
      <x:c r="AE66" s="12" t="str">
        <x:v>PERCENTUAL</x:v>
      </x:c>
      <x:c r="AF66" s="12"/>
      <x:c r="AG66" s="12" t="str">
        <x:v>2.6.44</x:v>
      </x:c>
      <x:c r="AH66" s="12" t="str">
        <x:v>Frete base × percentual; aplicar frete mínimo quando maior. Bloco percentual ativado; controle visual passivo.</x:v>
      </x:c>
      <x:c r="AI66"/>
    </x:row>
    <x:row r="67">
      <x:c r="A67" s="14" t="str">
        <x:v>AMM_0066</x:v>
      </x:c>
      <x:c r="B67" s="14" t="str">
        <x:v>AMM</x:v>
      </x:c>
      <x:c r="C67" s="14"/>
      <x:c r="D67" s="14"/>
      <x:c r="E67" s="14" t="str">
        <x:v>Marabá</x:v>
      </x:c>
      <x:c r="F67" s="14" t="str">
        <x:v>PA</x:v>
      </x:c>
      <x:c r="G67" s="14" t="str">
        <x:v>Vila Sororó</x:v>
      </x:c>
      <x:c r="H67" s="14" t="str">
        <x:v>PA</x:v>
      </x:c>
      <x:c r="I67" s="14" t="str">
        <x:v>Rota para Parazão D+1</x:v>
      </x:c>
      <x:c r="J67" s="14"/>
      <x:c r="K67" s="14" t="str">
        <x:v>35%</x:v>
      </x:c>
      <x:c r="L67" s="46" t="n">
        <x:v>70</x:v>
      </x:c>
      <x:c r="M67" s="46"/>
      <x:c r="N67" s="46"/>
      <x:c r="O67" s="14"/>
      <x:c r="P67" s="14"/>
      <x:c r="Q67" s="14"/>
      <x:c r="R67" s="14" t="str">
        <x:v>ORIGINAL</x:v>
      </x:c>
      <x:c r="S67" s="14" t="str">
        <x:v>NÃO</x:v>
      </x:c>
      <x:c r="T67" s="14" t="str">
        <x:v>REVISAR_OK</x:v>
      </x:c>
      <x:c r="U67" s="14" t="str">
        <x:v>doc20621420260704143258.pdf</x:v>
      </x:c>
      <x:c r="V67" s="14" t="str">
        <x:v>1</x:v>
      </x:c>
      <x:c r="W67" s="14" t="str">
        <x:v>Tabela informa 35% com mínima R$70,00</x:v>
      </x:c>
      <x:c r="X67"/>
      <x:c r="Y67"/>
      <x:c r="Z67"/>
      <x:c r="AA67"/>
      <x:c r="AB67"/>
      <x:c r="AC67" t="str">
        <x:v>SIM</x:v>
      </x:c>
      <x:c r="AD67" t="str">
        <x:v>AMM</x:v>
      </x:c>
      <x:c r="AE67" s="12" t="str">
        <x:v>PERCENTUAL</x:v>
      </x:c>
      <x:c r="AF67" s="12"/>
      <x:c r="AG67" s="12" t="str">
        <x:v>2.6.44</x:v>
      </x:c>
      <x:c r="AH67" s="12" t="str">
        <x:v>Frete base × percentual; aplicar frete mínimo quando maior. Bloco percentual ativado; controle visual passivo.</x:v>
      </x:c>
      <x:c r="AI67"/>
    </x:row>
    <x:row r="68">
      <x:c r="A68" s="14" t="str">
        <x:v>AMM_0067</x:v>
      </x:c>
      <x:c r="B68" s="14" t="str">
        <x:v>AMM</x:v>
      </x:c>
      <x:c r="C68" s="14"/>
      <x:c r="D68" s="14"/>
      <x:c r="E68" s="14" t="str">
        <x:v>Marabá</x:v>
      </x:c>
      <x:c r="F68" s="14" t="str">
        <x:v>PA</x:v>
      </x:c>
      <x:c r="G68" s="14" t="str">
        <x:v>Eldorado</x:v>
      </x:c>
      <x:c r="H68" s="14" t="str">
        <x:v>PA</x:v>
      </x:c>
      <x:c r="I68" s="14" t="str">
        <x:v>Rota para Parazão D+1</x:v>
      </x:c>
      <x:c r="J68" s="14"/>
      <x:c r="K68" s="14" t="str">
        <x:v>35%</x:v>
      </x:c>
      <x:c r="L68" s="46" t="n">
        <x:v>70</x:v>
      </x:c>
      <x:c r="M68" s="46"/>
      <x:c r="N68" s="46"/>
      <x:c r="O68" s="14"/>
      <x:c r="P68" s="14"/>
      <x:c r="Q68" s="14"/>
      <x:c r="R68" s="14" t="str">
        <x:v>ORIGINAL</x:v>
      </x:c>
      <x:c r="S68" s="14" t="str">
        <x:v>NÃO</x:v>
      </x:c>
      <x:c r="T68" s="14" t="str">
        <x:v>REVISAR_OK</x:v>
      </x:c>
      <x:c r="U68" s="14" t="str">
        <x:v>doc20621420260704143258.pdf</x:v>
      </x:c>
      <x:c r="V68" s="14" t="str">
        <x:v>1</x:v>
      </x:c>
      <x:c r="W68" s="14" t="str">
        <x:v>Tabela informa 35% com mínima R$70,00</x:v>
      </x:c>
      <x:c r="X68"/>
      <x:c r="Y68"/>
      <x:c r="Z68"/>
      <x:c r="AA68"/>
      <x:c r="AB68"/>
      <x:c r="AC68" t="str">
        <x:v>SIM</x:v>
      </x:c>
      <x:c r="AD68" t="str">
        <x:v>AMM</x:v>
      </x:c>
      <x:c r="AE68" s="12" t="str">
        <x:v>PERCENTUAL</x:v>
      </x:c>
      <x:c r="AF68" s="12"/>
      <x:c r="AG68" s="12" t="str">
        <x:v>2.6.44</x:v>
      </x:c>
      <x:c r="AH68" s="12" t="str">
        <x:v>Frete base × percentual; aplicar frete mínimo quando maior. Bloco percentual ativado; controle visual passivo.</x:v>
      </x:c>
      <x:c r="AI68"/>
    </x:row>
    <x:row r="69">
      <x:c r="A69" s="14" t="str">
        <x:v>AMM_0068</x:v>
      </x:c>
      <x:c r="B69" s="14" t="str">
        <x:v>AMM</x:v>
      </x:c>
      <x:c r="C69" s="14"/>
      <x:c r="D69" s="14"/>
      <x:c r="E69" s="14" t="str">
        <x:v>Marabá</x:v>
      </x:c>
      <x:c r="F69" s="14" t="str">
        <x:v>PA</x:v>
      </x:c>
      <x:c r="G69" s="14" t="str">
        <x:v>Curionópolis</x:v>
      </x:c>
      <x:c r="H69" s="14" t="str">
        <x:v>PA</x:v>
      </x:c>
      <x:c r="I69" s="14" t="str">
        <x:v>Rota para Parazão D+1</x:v>
      </x:c>
      <x:c r="J69" s="14"/>
      <x:c r="K69" s="14" t="str">
        <x:v>35%</x:v>
      </x:c>
      <x:c r="L69" s="46" t="n">
        <x:v>70</x:v>
      </x:c>
      <x:c r="M69" s="46"/>
      <x:c r="N69" s="46"/>
      <x:c r="O69" s="14"/>
      <x:c r="P69" s="14"/>
      <x:c r="Q69" s="14"/>
      <x:c r="R69" s="14" t="str">
        <x:v>ORIGINAL</x:v>
      </x:c>
      <x:c r="S69" s="14" t="str">
        <x:v>NÃO</x:v>
      </x:c>
      <x:c r="T69" s="14" t="str">
        <x:v>REVISAR_OK</x:v>
      </x:c>
      <x:c r="U69" s="14" t="str">
        <x:v>doc20621420260704143258.pdf</x:v>
      </x:c>
      <x:c r="V69" s="14" t="str">
        <x:v>1</x:v>
      </x:c>
      <x:c r="W69" s="14" t="str">
        <x:v>Tabela informa 35% com mínima R$70,00</x:v>
      </x:c>
      <x:c r="X69"/>
      <x:c r="Y69"/>
      <x:c r="Z69"/>
      <x:c r="AA69"/>
      <x:c r="AB69"/>
      <x:c r="AC69" t="str">
        <x:v>SIM</x:v>
      </x:c>
      <x:c r="AD69" t="str">
        <x:v>AMM</x:v>
      </x:c>
      <x:c r="AE69" s="12" t="str">
        <x:v>PERCENTUAL</x:v>
      </x:c>
      <x:c r="AF69" s="12"/>
      <x:c r="AG69" s="12" t="str">
        <x:v>2.6.44</x:v>
      </x:c>
      <x:c r="AH69" s="12" t="str">
        <x:v>Frete base × percentual; aplicar frete mínimo quando maior. Bloco percentual ativado; controle visual passivo.</x:v>
      </x:c>
      <x:c r="AI69"/>
    </x:row>
    <x:row r="70">
      <x:c r="A70" s="14" t="str">
        <x:v>AMM_0069</x:v>
      </x:c>
      <x:c r="B70" s="14" t="str">
        <x:v>AMM</x:v>
      </x:c>
      <x:c r="C70" s="14"/>
      <x:c r="D70" s="14"/>
      <x:c r="E70" s="14" t="str">
        <x:v>Marabá</x:v>
      </x:c>
      <x:c r="F70" s="14" t="str">
        <x:v>PA</x:v>
      </x:c>
      <x:c r="G70" s="14" t="str">
        <x:v>Parauapebas</x:v>
      </x:c>
      <x:c r="H70" s="14" t="str">
        <x:v>PA</x:v>
      </x:c>
      <x:c r="I70" s="14" t="str">
        <x:v>Rota para Parazão D+1</x:v>
      </x:c>
      <x:c r="J70" s="14"/>
      <x:c r="K70" s="14" t="str">
        <x:v>35%</x:v>
      </x:c>
      <x:c r="L70" s="46" t="n">
        <x:v>70</x:v>
      </x:c>
      <x:c r="M70" s="46"/>
      <x:c r="N70" s="46"/>
      <x:c r="O70" s="14"/>
      <x:c r="P70" s="14"/>
      <x:c r="Q70" s="14"/>
      <x:c r="R70" s="14" t="str">
        <x:v>ORIGINAL</x:v>
      </x:c>
      <x:c r="S70" s="14" t="str">
        <x:v>NÃO</x:v>
      </x:c>
      <x:c r="T70" s="14" t="str">
        <x:v>REVISAR_OK</x:v>
      </x:c>
      <x:c r="U70" s="14" t="str">
        <x:v>doc20621420260704143258.pdf</x:v>
      </x:c>
      <x:c r="V70" s="14" t="str">
        <x:v>1</x:v>
      </x:c>
      <x:c r="W70" s="14" t="str">
        <x:v>Tabela informa 35% com mínima R$70,00</x:v>
      </x:c>
      <x:c r="X70"/>
      <x:c r="Y70"/>
      <x:c r="Z70"/>
      <x:c r="AA70"/>
      <x:c r="AB70"/>
      <x:c r="AC70" t="str">
        <x:v>SIM</x:v>
      </x:c>
      <x:c r="AD70" t="str">
        <x:v>AMM</x:v>
      </x:c>
      <x:c r="AE70" s="12" t="str">
        <x:v>PERCENTUAL</x:v>
      </x:c>
      <x:c r="AF70" s="12"/>
      <x:c r="AG70" s="12" t="str">
        <x:v>2.6.44</x:v>
      </x:c>
      <x:c r="AH70" s="12" t="str">
        <x:v>Frete base × percentual; aplicar frete mínimo quando maior. Bloco percentual ativado; controle visual passivo.</x:v>
      </x:c>
      <x:c r="AI70"/>
    </x:row>
    <x:row r="71">
      <x:c r="A71" s="14" t="str">
        <x:v>AMM_0070</x:v>
      </x:c>
      <x:c r="B71" s="14" t="str">
        <x:v>AMM</x:v>
      </x:c>
      <x:c r="C71" s="14"/>
      <x:c r="D71" s="14"/>
      <x:c r="E71" s="14" t="str">
        <x:v>Marabá</x:v>
      </x:c>
      <x:c r="F71" s="14" t="str">
        <x:v>PA</x:v>
      </x:c>
      <x:c r="G71" s="14" t="str">
        <x:v>Canaã dos Carajás</x:v>
      </x:c>
      <x:c r="H71" s="14" t="str">
        <x:v>PA</x:v>
      </x:c>
      <x:c r="I71" s="14" t="str">
        <x:v>Rota para Parazão D+1</x:v>
      </x:c>
      <x:c r="J71" s="14"/>
      <x:c r="K71" s="14" t="str">
        <x:v>35%</x:v>
      </x:c>
      <x:c r="L71" s="46" t="n">
        <x:v>70</x:v>
      </x:c>
      <x:c r="M71" s="46"/>
      <x:c r="N71" s="46"/>
      <x:c r="O71" s="14"/>
      <x:c r="P71" s="14"/>
      <x:c r="Q71" s="14"/>
      <x:c r="R71" s="14" t="str">
        <x:v>ORIGINAL</x:v>
      </x:c>
      <x:c r="S71" s="14" t="str">
        <x:v>NÃO</x:v>
      </x:c>
      <x:c r="T71" s="14" t="str">
        <x:v>REVISAR_OK</x:v>
      </x:c>
      <x:c r="U71" s="14" t="str">
        <x:v>doc20621420260704143258.pdf</x:v>
      </x:c>
      <x:c r="V71" s="14" t="str">
        <x:v>1</x:v>
      </x:c>
      <x:c r="W71" s="14" t="str">
        <x:v>Tabela informa 35% com mínima R$70,00</x:v>
      </x:c>
      <x:c r="X71"/>
      <x:c r="Y71"/>
      <x:c r="Z71"/>
      <x:c r="AA71"/>
      <x:c r="AB71"/>
      <x:c r="AC71" t="str">
        <x:v>SIM</x:v>
      </x:c>
      <x:c r="AD71" t="str">
        <x:v>AMM</x:v>
      </x:c>
      <x:c r="AE71" s="12" t="str">
        <x:v>PERCENTUAL</x:v>
      </x:c>
      <x:c r="AF71" s="12"/>
      <x:c r="AG71" s="12" t="str">
        <x:v>2.6.44</x:v>
      </x:c>
      <x:c r="AH71" s="12" t="str">
        <x:v>Frete base × percentual; aplicar frete mínimo quando maior. Bloco percentual ativado; controle visual passivo.</x:v>
      </x:c>
      <x:c r="AI71"/>
    </x:row>
    <x:row r="72">
      <x:c r="A72" s="14" t="str">
        <x:v>LN_0071</x:v>
      </x:c>
      <x:c r="B72" s="14" t="str">
        <x:v>LN</x:v>
      </x:c>
      <x:c r="C72" s="14"/>
      <x:c r="D72" s="14"/>
      <x:c r="E72" s="14" t="str">
        <x:v>Marabá</x:v>
      </x:c>
      <x:c r="F72" s="14" t="str">
        <x:v>PA</x:v>
      </x:c>
      <x:c r="G72" s="14" t="str">
        <x:v>Abel Figueiredo</x:v>
      </x:c>
      <x:c r="H72" s="14" t="str">
        <x:v>PA</x:v>
      </x:c>
      <x:c r="I72" s="14" t="str">
        <x:v>MAB</x:v>
      </x:c>
      <x:c r="J72" s="14" t="str">
        <x:v>Polo/Região Interior</x:v>
      </x:c>
      <x:c r="K72" s="14" t="str">
        <x:v>27%</x:v>
      </x:c>
      <x:c r="L72" s="46" t="n">
        <x:v>65</x:v>
      </x:c>
      <x:c r="M72" s="46"/>
      <x:c r="N72" s="46"/>
      <x:c r="O72" s="14"/>
      <x:c r="P72" s="14" t="str">
        <x:v>D+4/D+5</x:v>
      </x:c>
      <x:c r="Q72" s="14"/>
      <x:c r="R72" s="14" t="str">
        <x:v>ORIGINAL</x:v>
      </x:c>
      <x:c r="S72" s="14" t="str">
        <x:v>NÃO</x:v>
      </x:c>
      <x:c r="T72" s="14" t="str">
        <x:v>REVISAR_OK</x:v>
      </x:c>
      <x:c r="U72" s="14" t="str">
        <x:v>doc20620720260704143045.pdf</x:v>
      </x:c>
      <x:c r="V72" s="14" t="str">
        <x:v>1</x:v>
      </x:c>
      <x:c r="W72" s="14" t="str">
        <x:v>Prazo varia por destino; revisar linha</x:v>
      </x:c>
      <x:c r="X72"/>
      <x:c r="Y72"/>
      <x:c r="Z72"/>
      <x:c r="AA72"/>
      <x:c r="AB72"/>
      <x:c r="AC72" t="str">
        <x:v>SIM</x:v>
      </x:c>
      <x:c r="AD72" t="str">
        <x:v>L&amp;N</x:v>
      </x:c>
      <x:c r="AE72" s="12" t="str">
        <x:v>PERCENTUAL</x:v>
      </x:c>
      <x:c r="AF72" s="12"/>
      <x:c r="AG72" s="12" t="str">
        <x:v>2.6.44</x:v>
      </x:c>
      <x:c r="AH72" s="12" t="str">
        <x:v>Frete base × percentual; aplicar frete mínimo quando maior. Bloco percentual ativado; controle visual passivo.</x:v>
      </x:c>
      <x:c r="AI72"/>
    </x:row>
    <x:row r="73">
      <x:c r="A73" s="14" t="str">
        <x:v>LN_0072</x:v>
      </x:c>
      <x:c r="B73" s="14" t="str">
        <x:v>LN</x:v>
      </x:c>
      <x:c r="C73" s="14"/>
      <x:c r="D73" s="14"/>
      <x:c r="E73" s="14" t="str">
        <x:v>Marabá</x:v>
      </x:c>
      <x:c r="F73" s="14" t="str">
        <x:v>PA</x:v>
      </x:c>
      <x:c r="G73" s="14" t="str">
        <x:v>Bom Jesus do Tocantins</x:v>
      </x:c>
      <x:c r="H73" s="14" t="str">
        <x:v>PA</x:v>
      </x:c>
      <x:c r="I73" s="14" t="str">
        <x:v>MAB</x:v>
      </x:c>
      <x:c r="J73" s="14" t="str">
        <x:v>Polo/Região Interior</x:v>
      </x:c>
      <x:c r="K73" s="14" t="str">
        <x:v>27%</x:v>
      </x:c>
      <x:c r="L73" s="46" t="n">
        <x:v>65</x:v>
      </x:c>
      <x:c r="M73" s="46"/>
      <x:c r="N73" s="46"/>
      <x:c r="O73" s="14"/>
      <x:c r="P73" s="14" t="str">
        <x:v>D+4/D+5</x:v>
      </x:c>
      <x:c r="Q73" s="14"/>
      <x:c r="R73" s="14" t="str">
        <x:v>ORIGINAL</x:v>
      </x:c>
      <x:c r="S73" s="14" t="str">
        <x:v>NÃO</x:v>
      </x:c>
      <x:c r="T73" s="14" t="str">
        <x:v>REVISAR_OK</x:v>
      </x:c>
      <x:c r="U73" s="14" t="str">
        <x:v>doc20620720260704143045.pdf</x:v>
      </x:c>
      <x:c r="V73" s="14" t="str">
        <x:v>1</x:v>
      </x:c>
      <x:c r="W73" s="14" t="str">
        <x:v>Prazo varia por destino; revisar linha</x:v>
      </x:c>
      <x:c r="X73"/>
      <x:c r="Y73"/>
      <x:c r="Z73"/>
      <x:c r="AA73"/>
      <x:c r="AB73"/>
      <x:c r="AC73" t="str">
        <x:v>SIM</x:v>
      </x:c>
      <x:c r="AD73" t="str">
        <x:v>L&amp;N</x:v>
      </x:c>
      <x:c r="AE73" s="12" t="str">
        <x:v>PERCENTUAL</x:v>
      </x:c>
      <x:c r="AF73" s="12"/>
      <x:c r="AG73" s="12" t="str">
        <x:v>2.6.44</x:v>
      </x:c>
      <x:c r="AH73" s="12" t="str">
        <x:v>Frete base × percentual; aplicar frete mínimo quando maior. Bloco percentual ativado; controle visual passivo.</x:v>
      </x:c>
      <x:c r="AI73"/>
    </x:row>
    <x:row r="74">
      <x:c r="A74" s="14" t="str">
        <x:v>LN_0073</x:v>
      </x:c>
      <x:c r="B74" s="14" t="str">
        <x:v>LN</x:v>
      </x:c>
      <x:c r="C74" s="14"/>
      <x:c r="D74" s="14"/>
      <x:c r="E74" s="14" t="str">
        <x:v>Marabá</x:v>
      </x:c>
      <x:c r="F74" s="14" t="str">
        <x:v>PA</x:v>
      </x:c>
      <x:c r="G74" s="14" t="str">
        <x:v>Brejo Grande do Araguaia</x:v>
      </x:c>
      <x:c r="H74" s="14" t="str">
        <x:v>PA</x:v>
      </x:c>
      <x:c r="I74" s="14" t="str">
        <x:v>MAB</x:v>
      </x:c>
      <x:c r="J74" s="14" t="str">
        <x:v>Polo/Região Interior</x:v>
      </x:c>
      <x:c r="K74" s="14" t="str">
        <x:v>27%</x:v>
      </x:c>
      <x:c r="L74" s="46" t="n">
        <x:v>65</x:v>
      </x:c>
      <x:c r="M74" s="46"/>
      <x:c r="N74" s="46"/>
      <x:c r="O74" s="14"/>
      <x:c r="P74" s="14" t="str">
        <x:v>D+4/D+5</x:v>
      </x:c>
      <x:c r="Q74" s="14"/>
      <x:c r="R74" s="14" t="str">
        <x:v>ORIGINAL</x:v>
      </x:c>
      <x:c r="S74" s="14" t="str">
        <x:v>NÃO</x:v>
      </x:c>
      <x:c r="T74" s="14" t="str">
        <x:v>REVISAR_OK</x:v>
      </x:c>
      <x:c r="U74" s="14" t="str">
        <x:v>doc20620720260704143045.pdf</x:v>
      </x:c>
      <x:c r="V74" s="14" t="str">
        <x:v>1</x:v>
      </x:c>
      <x:c r="W74" s="14" t="str">
        <x:v>Prazo varia por destino; revisar linha</x:v>
      </x:c>
      <x:c r="X74"/>
      <x:c r="Y74"/>
      <x:c r="Z74"/>
      <x:c r="AA74"/>
      <x:c r="AB74"/>
      <x:c r="AC74" t="str">
        <x:v>SIM</x:v>
      </x:c>
      <x:c r="AD74" t="str">
        <x:v>L&amp;N</x:v>
      </x:c>
      <x:c r="AE74" s="12" t="str">
        <x:v>PERCENTUAL</x:v>
      </x:c>
      <x:c r="AF74" s="12"/>
      <x:c r="AG74" s="12" t="str">
        <x:v>2.6.44</x:v>
      </x:c>
      <x:c r="AH74" s="12" t="str">
        <x:v>Frete base × percentual; aplicar frete mínimo quando maior. Bloco percentual ativado; controle visual passivo.</x:v>
      </x:c>
      <x:c r="AI74"/>
    </x:row>
    <x:row r="75">
      <x:c r="A75" s="14" t="str">
        <x:v>LN_0074</x:v>
      </x:c>
      <x:c r="B75" s="14" t="str">
        <x:v>LN</x:v>
      </x:c>
      <x:c r="C75" s="14"/>
      <x:c r="D75" s="14"/>
      <x:c r="E75" s="14" t="str">
        <x:v>Marabá</x:v>
      </x:c>
      <x:c r="F75" s="14" t="str">
        <x:v>PA</x:v>
      </x:c>
      <x:c r="G75" s="14" t="str">
        <x:v>Breu Branco</x:v>
      </x:c>
      <x:c r="H75" s="14" t="str">
        <x:v>PA</x:v>
      </x:c>
      <x:c r="I75" s="14" t="str">
        <x:v>MAB</x:v>
      </x:c>
      <x:c r="J75" s="14" t="str">
        <x:v>Polo/Região Interior</x:v>
      </x:c>
      <x:c r="K75" s="14" t="str">
        <x:v>27%</x:v>
      </x:c>
      <x:c r="L75" s="46" t="n">
        <x:v>65</x:v>
      </x:c>
      <x:c r="M75" s="46"/>
      <x:c r="N75" s="46"/>
      <x:c r="O75" s="14"/>
      <x:c r="P75" s="14" t="str">
        <x:v>D+4/D+5</x:v>
      </x:c>
      <x:c r="Q75" s="14"/>
      <x:c r="R75" s="14" t="str">
        <x:v>ORIGINAL</x:v>
      </x:c>
      <x:c r="S75" s="14" t="str">
        <x:v>NÃO</x:v>
      </x:c>
      <x:c r="T75" s="14" t="str">
        <x:v>REVISAR_OK</x:v>
      </x:c>
      <x:c r="U75" s="14" t="str">
        <x:v>doc20620720260704143045.pdf</x:v>
      </x:c>
      <x:c r="V75" s="14" t="str">
        <x:v>1</x:v>
      </x:c>
      <x:c r="W75" s="14" t="str">
        <x:v>Prazo varia por destino; revisar linha</x:v>
      </x:c>
      <x:c r="X75"/>
      <x:c r="Y75"/>
      <x:c r="Z75"/>
      <x:c r="AA75"/>
      <x:c r="AB75"/>
      <x:c r="AC75" t="str">
        <x:v>SIM</x:v>
      </x:c>
      <x:c r="AD75" t="str">
        <x:v>L&amp;N</x:v>
      </x:c>
      <x:c r="AE75" s="12" t="str">
        <x:v>PERCENTUAL</x:v>
      </x:c>
      <x:c r="AF75" s="12"/>
      <x:c r="AG75" s="12" t="str">
        <x:v>2.6.44</x:v>
      </x:c>
      <x:c r="AH75" s="12" t="str">
        <x:v>Frete base × percentual; aplicar frete mínimo quando maior. Bloco percentual ativado; controle visual passivo.</x:v>
      </x:c>
      <x:c r="AI75"/>
    </x:row>
    <x:row r="76">
      <x:c r="A76" s="14" t="str">
        <x:v>LN_0075</x:v>
      </x:c>
      <x:c r="B76" s="14" t="str">
        <x:v>LN</x:v>
      </x:c>
      <x:c r="C76" s="14"/>
      <x:c r="D76" s="14"/>
      <x:c r="E76" s="14" t="str">
        <x:v>Marabá</x:v>
      </x:c>
      <x:c r="F76" s="14" t="str">
        <x:v>PA</x:v>
      </x:c>
      <x:c r="G76" s="14" t="str">
        <x:v>Canaã dos Carajás</x:v>
      </x:c>
      <x:c r="H76" s="14" t="str">
        <x:v>PA</x:v>
      </x:c>
      <x:c r="I76" s="14" t="str">
        <x:v>MAB</x:v>
      </x:c>
      <x:c r="J76" s="14" t="str">
        <x:v>Polo/Região Interior</x:v>
      </x:c>
      <x:c r="K76" s="14" t="str">
        <x:v>27%</x:v>
      </x:c>
      <x:c r="L76" s="46" t="n">
        <x:v>65</x:v>
      </x:c>
      <x:c r="M76" s="46"/>
      <x:c r="N76" s="46"/>
      <x:c r="O76" s="14"/>
      <x:c r="P76" s="14" t="str">
        <x:v>D+4/D+5</x:v>
      </x:c>
      <x:c r="Q76" s="14"/>
      <x:c r="R76" s="14" t="str">
        <x:v>ORIGINAL</x:v>
      </x:c>
      <x:c r="S76" s="14" t="str">
        <x:v>NÃO</x:v>
      </x:c>
      <x:c r="T76" s="14" t="str">
        <x:v>REVISAR_OK</x:v>
      </x:c>
      <x:c r="U76" s="14" t="str">
        <x:v>doc20620720260704143045.pdf</x:v>
      </x:c>
      <x:c r="V76" s="14" t="str">
        <x:v>1</x:v>
      </x:c>
      <x:c r="W76" s="14" t="str">
        <x:v>Prazo varia por destino; revisar linha</x:v>
      </x:c>
      <x:c r="X76"/>
      <x:c r="Y76"/>
      <x:c r="Z76"/>
      <x:c r="AA76"/>
      <x:c r="AB76"/>
      <x:c r="AC76" t="str">
        <x:v>SIM</x:v>
      </x:c>
      <x:c r="AD76" t="str">
        <x:v>L&amp;N</x:v>
      </x:c>
      <x:c r="AE76" s="12" t="str">
        <x:v>PERCENTUAL</x:v>
      </x:c>
      <x:c r="AF76" s="12"/>
      <x:c r="AG76" s="12" t="str">
        <x:v>2.6.44</x:v>
      </x:c>
      <x:c r="AH76" s="12" t="str">
        <x:v>Frete base × percentual; aplicar frete mínimo quando maior. Bloco percentual ativado; controle visual passivo.</x:v>
      </x:c>
      <x:c r="AI76"/>
    </x:row>
    <x:row r="77">
      <x:c r="A77" s="14" t="str">
        <x:v>LN_0076</x:v>
      </x:c>
      <x:c r="B77" s="14" t="str">
        <x:v>LN</x:v>
      </x:c>
      <x:c r="C77" s="14"/>
      <x:c r="D77" s="14"/>
      <x:c r="E77" s="14" t="str">
        <x:v>Marabá</x:v>
      </x:c>
      <x:c r="F77" s="14" t="str">
        <x:v>PA</x:v>
      </x:c>
      <x:c r="G77" s="14" t="str">
        <x:v>Capatães</x:v>
      </x:c>
      <x:c r="H77" s="14" t="str">
        <x:v>PA</x:v>
      </x:c>
      <x:c r="I77" s="14" t="str">
        <x:v>MAB</x:v>
      </x:c>
      <x:c r="J77" s="14" t="str">
        <x:v>Polo/Região Interior</x:v>
      </x:c>
      <x:c r="K77" s="14" t="str">
        <x:v>25%</x:v>
      </x:c>
      <x:c r="L77" s="46" t="n">
        <x:v>65</x:v>
      </x:c>
      <x:c r="M77" s="46"/>
      <x:c r="N77" s="46"/>
      <x:c r="O77" s="14"/>
      <x:c r="P77" s="14" t="str">
        <x:v>D+4/D+5</x:v>
      </x:c>
      <x:c r="Q77" s="14"/>
      <x:c r="R77" s="14" t="str">
        <x:v>ORIGINAL</x:v>
      </x:c>
      <x:c r="S77" s="14" t="str">
        <x:v>NÃO</x:v>
      </x:c>
      <x:c r="T77" s="14" t="str">
        <x:v>REVISAR_OK</x:v>
      </x:c>
      <x:c r="U77" s="14" t="str">
        <x:v>doc20620720260704143045.pdf</x:v>
      </x:c>
      <x:c r="V77" s="14" t="str">
        <x:v>1</x:v>
      </x:c>
      <x:c r="W77" s="14" t="str">
        <x:v>Prazo varia por destino; revisar linha</x:v>
      </x:c>
      <x:c r="X77"/>
      <x:c r="Y77"/>
      <x:c r="Z77"/>
      <x:c r="AA77"/>
      <x:c r="AB77"/>
      <x:c r="AC77" t="str">
        <x:v>SIM</x:v>
      </x:c>
      <x:c r="AD77" t="str">
        <x:v>L&amp;N</x:v>
      </x:c>
      <x:c r="AE77" s="12" t="str">
        <x:v>PERCENTUAL</x:v>
      </x:c>
      <x:c r="AF77" s="12"/>
      <x:c r="AG77" s="12" t="str">
        <x:v>2.6.44</x:v>
      </x:c>
      <x:c r="AH77" s="12" t="str">
        <x:v>Frete base × percentual; aplicar frete mínimo quando maior. Bloco percentual ativado; controle visual passivo.</x:v>
      </x:c>
      <x:c r="AI77"/>
    </x:row>
    <x:row r="78">
      <x:c r="A78" s="14" t="str">
        <x:v>LN_0077</x:v>
      </x:c>
      <x:c r="B78" s="14" t="str">
        <x:v>LN</x:v>
      </x:c>
      <x:c r="C78" s="14"/>
      <x:c r="D78" s="14"/>
      <x:c r="E78" s="14" t="str">
        <x:v>Marabá</x:v>
      </x:c>
      <x:c r="F78" s="14" t="str">
        <x:v>PA</x:v>
      </x:c>
      <x:c r="G78" s="14" t="str">
        <x:v>Curionópolis</x:v>
      </x:c>
      <x:c r="H78" s="14" t="str">
        <x:v>PA</x:v>
      </x:c>
      <x:c r="I78" s="14" t="str">
        <x:v>MAB</x:v>
      </x:c>
      <x:c r="J78" s="14" t="str">
        <x:v>Polo/Região Interior</x:v>
      </x:c>
      <x:c r="K78" s="14" t="str">
        <x:v>27%</x:v>
      </x:c>
      <x:c r="L78" s="46" t="n">
        <x:v>65</x:v>
      </x:c>
      <x:c r="M78" s="46"/>
      <x:c r="N78" s="46"/>
      <x:c r="O78" s="14"/>
      <x:c r="P78" s="14" t="str">
        <x:v>D+4/D+5</x:v>
      </x:c>
      <x:c r="Q78" s="14"/>
      <x:c r="R78" s="14" t="str">
        <x:v>ORIGINAL</x:v>
      </x:c>
      <x:c r="S78" s="14" t="str">
        <x:v>NÃO</x:v>
      </x:c>
      <x:c r="T78" s="14" t="str">
        <x:v>REVISAR_OK</x:v>
      </x:c>
      <x:c r="U78" s="14" t="str">
        <x:v>doc20620720260704143045.pdf</x:v>
      </x:c>
      <x:c r="V78" s="14" t="str">
        <x:v>1</x:v>
      </x:c>
      <x:c r="W78" s="14" t="str">
        <x:v>Prazo varia por destino; revisar linha</x:v>
      </x:c>
      <x:c r="X78"/>
      <x:c r="Y78"/>
      <x:c r="Z78"/>
      <x:c r="AA78"/>
      <x:c r="AB78"/>
      <x:c r="AC78" t="str">
        <x:v>SIM</x:v>
      </x:c>
      <x:c r="AD78" t="str">
        <x:v>L&amp;N</x:v>
      </x:c>
      <x:c r="AE78" s="12" t="str">
        <x:v>PERCENTUAL</x:v>
      </x:c>
      <x:c r="AF78" s="12"/>
      <x:c r="AG78" s="12" t="str">
        <x:v>2.6.44</x:v>
      </x:c>
      <x:c r="AH78" s="12" t="str">
        <x:v>Frete base × percentual; aplicar frete mínimo quando maior. Bloco percentual ativado; controle visual passivo.</x:v>
      </x:c>
      <x:c r="AI78"/>
    </x:row>
    <x:row r="79">
      <x:c r="A79" s="14" t="str">
        <x:v>LN_0078</x:v>
      </x:c>
      <x:c r="B79" s="14" t="str">
        <x:v>LN</x:v>
      </x:c>
      <x:c r="C79" s="14"/>
      <x:c r="D79" s="14"/>
      <x:c r="E79" s="14" t="str">
        <x:v>Marabá</x:v>
      </x:c>
      <x:c r="F79" s="14" t="str">
        <x:v>PA</x:v>
      </x:c>
      <x:c r="G79" s="14" t="str">
        <x:v>Dom Eliseu</x:v>
      </x:c>
      <x:c r="H79" s="14" t="str">
        <x:v>PA</x:v>
      </x:c>
      <x:c r="I79" s="14" t="str">
        <x:v>MAB</x:v>
      </x:c>
      <x:c r="J79" s="14" t="str">
        <x:v>Polo/Região Interior</x:v>
      </x:c>
      <x:c r="K79" s="14" t="str">
        <x:v>27%</x:v>
      </x:c>
      <x:c r="L79" s="46" t="n">
        <x:v>65</x:v>
      </x:c>
      <x:c r="M79" s="46"/>
      <x:c r="N79" s="46"/>
      <x:c r="O79" s="14"/>
      <x:c r="P79" s="14" t="str">
        <x:v>D+4/D+5</x:v>
      </x:c>
      <x:c r="Q79" s="14"/>
      <x:c r="R79" s="14" t="str">
        <x:v>ORIGINAL</x:v>
      </x:c>
      <x:c r="S79" s="14" t="str">
        <x:v>NÃO</x:v>
      </x:c>
      <x:c r="T79" s="14" t="str">
        <x:v>REVISAR_OK</x:v>
      </x:c>
      <x:c r="U79" s="14" t="str">
        <x:v>doc20620720260704143045.pdf</x:v>
      </x:c>
      <x:c r="V79" s="14" t="str">
        <x:v>1</x:v>
      </x:c>
      <x:c r="W79" s="14" t="str">
        <x:v>Prazo varia por destino; revisar linha</x:v>
      </x:c>
      <x:c r="X79"/>
      <x:c r="Y79"/>
      <x:c r="Z79"/>
      <x:c r="AA79"/>
      <x:c r="AB79"/>
      <x:c r="AC79" t="str">
        <x:v>SIM</x:v>
      </x:c>
      <x:c r="AD79" t="str">
        <x:v>L&amp;N</x:v>
      </x:c>
      <x:c r="AE79" s="12" t="str">
        <x:v>PERCENTUAL</x:v>
      </x:c>
      <x:c r="AF79" s="12"/>
      <x:c r="AG79" s="12" t="str">
        <x:v>2.6.44</x:v>
      </x:c>
      <x:c r="AH79" s="12" t="str">
        <x:v>Frete base × percentual; aplicar frete mínimo quando maior. Bloco percentual ativado; controle visual passivo.</x:v>
      </x:c>
      <x:c r="AI79"/>
    </x:row>
    <x:row r="80">
      <x:c r="A80" s="14" t="str">
        <x:v>LN_0079</x:v>
      </x:c>
      <x:c r="B80" s="14" t="str">
        <x:v>LN</x:v>
      </x:c>
      <x:c r="C80" s="14"/>
      <x:c r="D80" s="14"/>
      <x:c r="E80" s="14" t="str">
        <x:v>Marabá</x:v>
      </x:c>
      <x:c r="F80" s="14" t="str">
        <x:v>PA</x:v>
      </x:c>
      <x:c r="G80" s="14" t="str">
        <x:v>Eldorado dos Carajás</x:v>
      </x:c>
      <x:c r="H80" s="14" t="str">
        <x:v>PA</x:v>
      </x:c>
      <x:c r="I80" s="14" t="str">
        <x:v>MAB</x:v>
      </x:c>
      <x:c r="J80" s="14" t="str">
        <x:v>Polo/Região Interior</x:v>
      </x:c>
      <x:c r="K80" s="14" t="str">
        <x:v>25%</x:v>
      </x:c>
      <x:c r="L80" s="46" t="n">
        <x:v>65</x:v>
      </x:c>
      <x:c r="M80" s="46"/>
      <x:c r="N80" s="46"/>
      <x:c r="O80" s="14"/>
      <x:c r="P80" s="14" t="str">
        <x:v>D+4/D+5</x:v>
      </x:c>
      <x:c r="Q80" s="14"/>
      <x:c r="R80" s="14" t="str">
        <x:v>ORIGINAL</x:v>
      </x:c>
      <x:c r="S80" s="14" t="str">
        <x:v>NÃO</x:v>
      </x:c>
      <x:c r="T80" s="14" t="str">
        <x:v>REVISAR_OK</x:v>
      </x:c>
      <x:c r="U80" s="14" t="str">
        <x:v>doc20620720260704143045.pdf</x:v>
      </x:c>
      <x:c r="V80" s="14" t="str">
        <x:v>1</x:v>
      </x:c>
      <x:c r="W80" s="14" t="str">
        <x:v>Prazo varia por destino; revisar linha</x:v>
      </x:c>
      <x:c r="X80"/>
      <x:c r="Y80"/>
      <x:c r="Z80"/>
      <x:c r="AA80"/>
      <x:c r="AB80"/>
      <x:c r="AC80" t="str">
        <x:v>SIM</x:v>
      </x:c>
      <x:c r="AD80" t="str">
        <x:v>L&amp;N</x:v>
      </x:c>
      <x:c r="AE80" s="12" t="str">
        <x:v>PERCENTUAL</x:v>
      </x:c>
      <x:c r="AF80" s="12"/>
      <x:c r="AG80" s="12" t="str">
        <x:v>2.6.44</x:v>
      </x:c>
      <x:c r="AH80" s="12" t="str">
        <x:v>Frete base × percentual; aplicar frete mínimo quando maior. Bloco percentual ativado; controle visual passivo.</x:v>
      </x:c>
      <x:c r="AI80"/>
    </x:row>
    <x:row r="81">
      <x:c r="A81" s="14" t="str">
        <x:v>LN_0080</x:v>
      </x:c>
      <x:c r="B81" s="14" t="str">
        <x:v>LN</x:v>
      </x:c>
      <x:c r="C81" s="14"/>
      <x:c r="D81" s="14"/>
      <x:c r="E81" s="14" t="str">
        <x:v>Marabá</x:v>
      </x:c>
      <x:c r="F81" s="14" t="str">
        <x:v>PA</x:v>
      </x:c>
      <x:c r="G81" s="14" t="str">
        <x:v>Goianésia do Pará</x:v>
      </x:c>
      <x:c r="H81" s="14" t="str">
        <x:v>PA</x:v>
      </x:c>
      <x:c r="I81" s="14" t="str">
        <x:v>MAB</x:v>
      </x:c>
      <x:c r="J81" s="14" t="str">
        <x:v>Polo/Região Interior</x:v>
      </x:c>
      <x:c r="K81" s="14" t="str">
        <x:v>27%</x:v>
      </x:c>
      <x:c r="L81" s="46" t="n">
        <x:v>65</x:v>
      </x:c>
      <x:c r="M81" s="46"/>
      <x:c r="N81" s="46"/>
      <x:c r="O81" s="14"/>
      <x:c r="P81" s="14" t="str">
        <x:v>D+4/D+5</x:v>
      </x:c>
      <x:c r="Q81" s="14"/>
      <x:c r="R81" s="14" t="str">
        <x:v>ORIGINAL</x:v>
      </x:c>
      <x:c r="S81" s="14" t="str">
        <x:v>NÃO</x:v>
      </x:c>
      <x:c r="T81" s="14" t="str">
        <x:v>REVISAR_OK</x:v>
      </x:c>
      <x:c r="U81" s="14" t="str">
        <x:v>doc20620720260704143045.pdf</x:v>
      </x:c>
      <x:c r="V81" s="14" t="str">
        <x:v>1</x:v>
      </x:c>
      <x:c r="W81" s="14" t="str">
        <x:v>Prazo varia por destino; revisar linha</x:v>
      </x:c>
      <x:c r="X81"/>
      <x:c r="Y81"/>
      <x:c r="Z81"/>
      <x:c r="AA81"/>
      <x:c r="AB81"/>
      <x:c r="AC81" t="str">
        <x:v>SIM</x:v>
      </x:c>
      <x:c r="AD81" t="str">
        <x:v>L&amp;N</x:v>
      </x:c>
      <x:c r="AE81" s="12" t="str">
        <x:v>PERCENTUAL</x:v>
      </x:c>
      <x:c r="AF81" s="12"/>
      <x:c r="AG81" s="12" t="str">
        <x:v>2.6.44</x:v>
      </x:c>
      <x:c r="AH81" s="12" t="str">
        <x:v>Frete base × percentual; aplicar frete mínimo quando maior. Bloco percentual ativado; controle visual passivo.</x:v>
      </x:c>
      <x:c r="AI81"/>
    </x:row>
    <x:row r="82">
      <x:c r="A82" s="14" t="str">
        <x:v>LN_0081</x:v>
      </x:c>
      <x:c r="B82" s="14" t="str">
        <x:v>LN</x:v>
      </x:c>
      <x:c r="C82" s="14"/>
      <x:c r="D82" s="14"/>
      <x:c r="E82" s="14" t="str">
        <x:v>Marabá</x:v>
      </x:c>
      <x:c r="F82" s="14" t="str">
        <x:v>PA</x:v>
      </x:c>
      <x:c r="G82" s="14" t="str">
        <x:v>Hidrelétrica Tucuruí</x:v>
      </x:c>
      <x:c r="H82" s="14" t="str">
        <x:v>PA</x:v>
      </x:c>
      <x:c r="I82" s="14" t="str">
        <x:v>MAB</x:v>
      </x:c>
      <x:c r="J82" s="14" t="str">
        <x:v>Polo/Região Interior</x:v>
      </x:c>
      <x:c r="K82" s="14" t="str">
        <x:v>27%</x:v>
      </x:c>
      <x:c r="L82" s="46" t="n">
        <x:v>65</x:v>
      </x:c>
      <x:c r="M82" s="46"/>
      <x:c r="N82" s="46"/>
      <x:c r="O82" s="14"/>
      <x:c r="P82" s="14" t="str">
        <x:v>D+4/D+5</x:v>
      </x:c>
      <x:c r="Q82" s="14"/>
      <x:c r="R82" s="14" t="str">
        <x:v>ORIGINAL</x:v>
      </x:c>
      <x:c r="S82" s="14" t="str">
        <x:v>NÃO</x:v>
      </x:c>
      <x:c r="T82" s="14" t="str">
        <x:v>REVISAR_OK</x:v>
      </x:c>
      <x:c r="U82" s="14" t="str">
        <x:v>doc20620720260704143045.pdf</x:v>
      </x:c>
      <x:c r="V82" s="14" t="str">
        <x:v>1</x:v>
      </x:c>
      <x:c r="W82" s="14" t="str">
        <x:v>Prazo varia por destino; revisar linha</x:v>
      </x:c>
      <x:c r="X82"/>
      <x:c r="Y82"/>
      <x:c r="Z82"/>
      <x:c r="AA82"/>
      <x:c r="AB82"/>
      <x:c r="AC82" t="str">
        <x:v>SIM</x:v>
      </x:c>
      <x:c r="AD82" t="str">
        <x:v>L&amp;N</x:v>
      </x:c>
      <x:c r="AE82" s="12" t="str">
        <x:v>PERCENTUAL</x:v>
      </x:c>
      <x:c r="AF82" s="12"/>
      <x:c r="AG82" s="12" t="str">
        <x:v>2.6.44</x:v>
      </x:c>
      <x:c r="AH82" s="12" t="str">
        <x:v>Frete base × percentual; aplicar frete mínimo quando maior. Bloco percentual ativado; controle visual passivo.</x:v>
      </x:c>
      <x:c r="AI82"/>
    </x:row>
    <x:row r="83">
      <x:c r="A83" s="14" t="str">
        <x:v>LN_0082</x:v>
      </x:c>
      <x:c r="B83" s="14" t="str">
        <x:v>LN</x:v>
      </x:c>
      <x:c r="C83" s="14"/>
      <x:c r="D83" s="14"/>
      <x:c r="E83" s="14" t="str">
        <x:v>Marabá</x:v>
      </x:c>
      <x:c r="F83" s="14" t="str">
        <x:v>PA</x:v>
      </x:c>
      <x:c r="G83" s="14" t="str">
        <x:v>Itupiranga</x:v>
      </x:c>
      <x:c r="H83" s="14" t="str">
        <x:v>PA</x:v>
      </x:c>
      <x:c r="I83" s="14" t="str">
        <x:v>MAB</x:v>
      </x:c>
      <x:c r="J83" s="14" t="str">
        <x:v>Polo/Região Interior</x:v>
      </x:c>
      <x:c r="K83" s="14" t="str">
        <x:v>27%</x:v>
      </x:c>
      <x:c r="L83" s="46" t="n">
        <x:v>65</x:v>
      </x:c>
      <x:c r="M83" s="46"/>
      <x:c r="N83" s="46"/>
      <x:c r="O83" s="14"/>
      <x:c r="P83" s="14" t="str">
        <x:v>D+4/D+5</x:v>
      </x:c>
      <x:c r="Q83" s="14"/>
      <x:c r="R83" s="14" t="str">
        <x:v>ORIGINAL</x:v>
      </x:c>
      <x:c r="S83" s="14" t="str">
        <x:v>NÃO</x:v>
      </x:c>
      <x:c r="T83" s="14" t="str">
        <x:v>REVISAR_OK</x:v>
      </x:c>
      <x:c r="U83" s="14" t="str">
        <x:v>doc20620720260704143045.pdf</x:v>
      </x:c>
      <x:c r="V83" s="14" t="str">
        <x:v>1</x:v>
      </x:c>
      <x:c r="W83" s="14" t="str">
        <x:v>Prazo varia por destino; revisar linha</x:v>
      </x:c>
      <x:c r="X83"/>
      <x:c r="Y83"/>
      <x:c r="Z83"/>
      <x:c r="AA83"/>
      <x:c r="AB83"/>
      <x:c r="AC83" t="str">
        <x:v>SIM</x:v>
      </x:c>
      <x:c r="AD83" t="str">
        <x:v>L&amp;N</x:v>
      </x:c>
      <x:c r="AE83" s="12" t="str">
        <x:v>PERCENTUAL</x:v>
      </x:c>
      <x:c r="AF83" s="12"/>
      <x:c r="AG83" s="12" t="str">
        <x:v>2.6.44</x:v>
      </x:c>
      <x:c r="AH83" s="12" t="str">
        <x:v>Frete base × percentual; aplicar frete mínimo quando maior. Bloco percentual ativado; controle visual passivo.</x:v>
      </x:c>
      <x:c r="AI83"/>
    </x:row>
    <x:row r="84">
      <x:c r="A84" s="14" t="str">
        <x:v>LN_0083</x:v>
      </x:c>
      <x:c r="B84" s="14" t="str">
        <x:v>LN</x:v>
      </x:c>
      <x:c r="C84" s="14"/>
      <x:c r="D84" s="14"/>
      <x:c r="E84" s="14" t="str">
        <x:v>Marabá</x:v>
      </x:c>
      <x:c r="F84" s="14" t="str">
        <x:v>PA</x:v>
      </x:c>
      <x:c r="G84" s="14" t="str">
        <x:v>Jacundá</x:v>
      </x:c>
      <x:c r="H84" s="14" t="str">
        <x:v>PA</x:v>
      </x:c>
      <x:c r="I84" s="14" t="str">
        <x:v>MAB</x:v>
      </x:c>
      <x:c r="J84" s="14" t="str">
        <x:v>Polo/Região Interior</x:v>
      </x:c>
      <x:c r="K84" s="14" t="str">
        <x:v>27%</x:v>
      </x:c>
      <x:c r="L84" s="46" t="n">
        <x:v>65</x:v>
      </x:c>
      <x:c r="M84" s="46"/>
      <x:c r="N84" s="46"/>
      <x:c r="O84" s="14"/>
      <x:c r="P84" s="14" t="str">
        <x:v>D+4/D+5</x:v>
      </x:c>
      <x:c r="Q84" s="14"/>
      <x:c r="R84" s="14" t="str">
        <x:v>ORIGINAL</x:v>
      </x:c>
      <x:c r="S84" s="14" t="str">
        <x:v>NÃO</x:v>
      </x:c>
      <x:c r="T84" s="14" t="str">
        <x:v>REVISAR_OK</x:v>
      </x:c>
      <x:c r="U84" s="14" t="str">
        <x:v>doc20620720260704143045.pdf</x:v>
      </x:c>
      <x:c r="V84" s="14" t="str">
        <x:v>1</x:v>
      </x:c>
      <x:c r="W84" s="14" t="str">
        <x:v>Prazo varia por destino; revisar linha</x:v>
      </x:c>
      <x:c r="X84"/>
      <x:c r="Y84"/>
      <x:c r="Z84"/>
      <x:c r="AA84"/>
      <x:c r="AB84"/>
      <x:c r="AC84" t="str">
        <x:v>SIM</x:v>
      </x:c>
      <x:c r="AD84" t="str">
        <x:v>L&amp;N</x:v>
      </x:c>
      <x:c r="AE84" s="12" t="str">
        <x:v>PERCENTUAL</x:v>
      </x:c>
      <x:c r="AF84" s="12"/>
      <x:c r="AG84" s="12" t="str">
        <x:v>2.6.44</x:v>
      </x:c>
      <x:c r="AH84" s="12" t="str">
        <x:v>Frete base × percentual; aplicar frete mínimo quando maior. Bloco percentual ativado; controle visual passivo.</x:v>
      </x:c>
      <x:c r="AI84"/>
    </x:row>
    <x:row r="85">
      <x:c r="A85" s="14" t="str">
        <x:v>LN_0084</x:v>
      </x:c>
      <x:c r="B85" s="14" t="str">
        <x:v>LN</x:v>
      </x:c>
      <x:c r="C85" s="14"/>
      <x:c r="D85" s="14"/>
      <x:c r="E85" s="14" t="str">
        <x:v>Marabá</x:v>
      </x:c>
      <x:c r="F85" s="14" t="str">
        <x:v>PA</x:v>
      </x:c>
      <x:c r="G85" s="14" t="str">
        <x:v>Marabá</x:v>
      </x:c>
      <x:c r="H85" s="14" t="str">
        <x:v>PA</x:v>
      </x:c>
      <x:c r="I85" s="14" t="str">
        <x:v>MAB</x:v>
      </x:c>
      <x:c r="J85" s="14" t="str">
        <x:v>Polo/Região Interior</x:v>
      </x:c>
      <x:c r="K85" s="14" t="str">
        <x:v>25%</x:v>
      </x:c>
      <x:c r="L85" s="46" t="n">
        <x:v>65</x:v>
      </x:c>
      <x:c r="M85" s="46"/>
      <x:c r="N85" s="46"/>
      <x:c r="O85" s="14"/>
      <x:c r="P85" s="14" t="str">
        <x:v>D+4/D+5</x:v>
      </x:c>
      <x:c r="Q85" s="14"/>
      <x:c r="R85" s="14" t="str">
        <x:v>ORIGINAL</x:v>
      </x:c>
      <x:c r="S85" s="14" t="str">
        <x:v>NÃO</x:v>
      </x:c>
      <x:c r="T85" s="14" t="str">
        <x:v>REVISAR_OK</x:v>
      </x:c>
      <x:c r="U85" s="14" t="str">
        <x:v>doc20620720260704143045.pdf</x:v>
      </x:c>
      <x:c r="V85" s="14" t="str">
        <x:v>1</x:v>
      </x:c>
      <x:c r="W85" s="14" t="str">
        <x:v>Prazo varia por destino; revisar linha</x:v>
      </x:c>
      <x:c r="X85"/>
      <x:c r="Y85"/>
      <x:c r="Z85"/>
      <x:c r="AA85"/>
      <x:c r="AB85"/>
      <x:c r="AC85" t="str">
        <x:v>SIM</x:v>
      </x:c>
      <x:c r="AD85" t="str">
        <x:v>L&amp;N</x:v>
      </x:c>
      <x:c r="AE85" s="12" t="str">
        <x:v>PERCENTUAL</x:v>
      </x:c>
      <x:c r="AF85" s="12"/>
      <x:c r="AG85" s="12" t="str">
        <x:v>2.6.44</x:v>
      </x:c>
      <x:c r="AH85" s="12" t="str">
        <x:v>Frete base × percentual; aplicar frete mínimo quando maior. Bloco percentual ativado; controle visual passivo.</x:v>
      </x:c>
      <x:c r="AI85"/>
    </x:row>
    <x:row r="86">
      <x:c r="A86" s="14" t="str">
        <x:v>LN_0085</x:v>
      </x:c>
      <x:c r="B86" s="14" t="str">
        <x:v>LN</x:v>
      </x:c>
      <x:c r="C86" s="14"/>
      <x:c r="D86" s="14"/>
      <x:c r="E86" s="14" t="str">
        <x:v>Marabá</x:v>
      </x:c>
      <x:c r="F86" s="14" t="str">
        <x:v>PA</x:v>
      </x:c>
      <x:c r="G86" s="14" t="str">
        <x:v>Nova Ipixuna</x:v>
      </x:c>
      <x:c r="H86" s="14" t="str">
        <x:v>PA</x:v>
      </x:c>
      <x:c r="I86" s="14" t="str">
        <x:v>MAB</x:v>
      </x:c>
      <x:c r="J86" s="14" t="str">
        <x:v>Polo/Região Interior</x:v>
      </x:c>
      <x:c r="K86" s="14" t="str">
        <x:v>27%</x:v>
      </x:c>
      <x:c r="L86" s="46" t="n">
        <x:v>65</x:v>
      </x:c>
      <x:c r="M86" s="46"/>
      <x:c r="N86" s="46"/>
      <x:c r="O86" s="14"/>
      <x:c r="P86" s="14" t="str">
        <x:v>D+4/D+5</x:v>
      </x:c>
      <x:c r="Q86" s="14"/>
      <x:c r="R86" s="14" t="str">
        <x:v>ORIGINAL</x:v>
      </x:c>
      <x:c r="S86" s="14" t="str">
        <x:v>NÃO</x:v>
      </x:c>
      <x:c r="T86" s="14" t="str">
        <x:v>REVISAR_OK</x:v>
      </x:c>
      <x:c r="U86" s="14" t="str">
        <x:v>doc20620720260704143045.pdf</x:v>
      </x:c>
      <x:c r="V86" s="14" t="str">
        <x:v>1</x:v>
      </x:c>
      <x:c r="W86" s="14" t="str">
        <x:v>Prazo varia por destino; revisar linha</x:v>
      </x:c>
      <x:c r="X86"/>
      <x:c r="Y86"/>
      <x:c r="Z86"/>
      <x:c r="AA86"/>
      <x:c r="AB86"/>
      <x:c r="AC86" t="str">
        <x:v>SIM</x:v>
      </x:c>
      <x:c r="AD86" t="str">
        <x:v>L&amp;N</x:v>
      </x:c>
      <x:c r="AE86" s="12" t="str">
        <x:v>PERCENTUAL</x:v>
      </x:c>
      <x:c r="AF86" s="12"/>
      <x:c r="AG86" s="12" t="str">
        <x:v>2.6.44</x:v>
      </x:c>
      <x:c r="AH86" s="12" t="str">
        <x:v>Frete base × percentual; aplicar frete mínimo quando maior. Bloco percentual ativado; controle visual passivo.</x:v>
      </x:c>
      <x:c r="AI86"/>
    </x:row>
    <x:row r="87">
      <x:c r="A87" s="14" t="str">
        <x:v>LN_0086</x:v>
      </x:c>
      <x:c r="B87" s="14" t="str">
        <x:v>LN</x:v>
      </x:c>
      <x:c r="C87" s="14"/>
      <x:c r="D87" s="14"/>
      <x:c r="E87" s="14" t="str">
        <x:v>Marabá</x:v>
      </x:c>
      <x:c r="F87" s="14" t="str">
        <x:v>PA</x:v>
      </x:c>
      <x:c r="G87" s="14" t="str">
        <x:v>Palestina do Pará</x:v>
      </x:c>
      <x:c r="H87" s="14" t="str">
        <x:v>PA</x:v>
      </x:c>
      <x:c r="I87" s="14" t="str">
        <x:v>MAB</x:v>
      </x:c>
      <x:c r="J87" s="14" t="str">
        <x:v>Polo/Região Interior</x:v>
      </x:c>
      <x:c r="K87" s="14" t="str">
        <x:v>27%</x:v>
      </x:c>
      <x:c r="L87" s="46" t="n">
        <x:v>65</x:v>
      </x:c>
      <x:c r="M87" s="46"/>
      <x:c r="N87" s="46"/>
      <x:c r="O87" s="14"/>
      <x:c r="P87" s="14" t="str">
        <x:v>D+4/D+5</x:v>
      </x:c>
      <x:c r="Q87" s="14"/>
      <x:c r="R87" s="14" t="str">
        <x:v>ORIGINAL</x:v>
      </x:c>
      <x:c r="S87" s="14" t="str">
        <x:v>NÃO</x:v>
      </x:c>
      <x:c r="T87" s="14" t="str">
        <x:v>REVISAR_OK</x:v>
      </x:c>
      <x:c r="U87" s="14" t="str">
        <x:v>doc20620720260704143045.pdf</x:v>
      </x:c>
      <x:c r="V87" s="14" t="str">
        <x:v>1</x:v>
      </x:c>
      <x:c r="W87" s="14" t="str">
        <x:v>Prazo varia por destino; revisar linha</x:v>
      </x:c>
      <x:c r="X87"/>
      <x:c r="Y87"/>
      <x:c r="Z87"/>
      <x:c r="AA87"/>
      <x:c r="AB87"/>
      <x:c r="AC87" t="str">
        <x:v>SIM</x:v>
      </x:c>
      <x:c r="AD87" t="str">
        <x:v>L&amp;N</x:v>
      </x:c>
      <x:c r="AE87" s="12" t="str">
        <x:v>PERCENTUAL</x:v>
      </x:c>
      <x:c r="AF87" s="12"/>
      <x:c r="AG87" s="12" t="str">
        <x:v>2.6.44</x:v>
      </x:c>
      <x:c r="AH87" s="12" t="str">
        <x:v>Frete base × percentual; aplicar frete mínimo quando maior. Bloco percentual ativado; controle visual passivo.</x:v>
      </x:c>
      <x:c r="AI87"/>
    </x:row>
    <x:row r="88">
      <x:c r="A88" s="14" t="str">
        <x:v>LN_0087</x:v>
      </x:c>
      <x:c r="B88" s="14" t="str">
        <x:v>LN</x:v>
      </x:c>
      <x:c r="C88" s="14"/>
      <x:c r="D88" s="14"/>
      <x:c r="E88" s="14" t="str">
        <x:v>Marabá</x:v>
      </x:c>
      <x:c r="F88" s="14" t="str">
        <x:v>PA</x:v>
      </x:c>
      <x:c r="G88" s="14" t="str">
        <x:v>Parauapebas</x:v>
      </x:c>
      <x:c r="H88" s="14" t="str">
        <x:v>PA</x:v>
      </x:c>
      <x:c r="I88" s="14" t="str">
        <x:v>MAB</x:v>
      </x:c>
      <x:c r="J88" s="14" t="str">
        <x:v>Polo/Região Interior</x:v>
      </x:c>
      <x:c r="K88" s="14" t="str">
        <x:v>27%</x:v>
      </x:c>
      <x:c r="L88" s="46" t="n">
        <x:v>65</x:v>
      </x:c>
      <x:c r="M88" s="46"/>
      <x:c r="N88" s="46"/>
      <x:c r="O88" s="14"/>
      <x:c r="P88" s="14" t="str">
        <x:v>D+4/D+5</x:v>
      </x:c>
      <x:c r="Q88" s="14"/>
      <x:c r="R88" s="14" t="str">
        <x:v>ORIGINAL</x:v>
      </x:c>
      <x:c r="S88" s="14" t="str">
        <x:v>NÃO</x:v>
      </x:c>
      <x:c r="T88" s="14" t="str">
        <x:v>REVISAR_OK</x:v>
      </x:c>
      <x:c r="U88" s="14" t="str">
        <x:v>doc20620720260704143045.pdf</x:v>
      </x:c>
      <x:c r="V88" s="14" t="str">
        <x:v>1</x:v>
      </x:c>
      <x:c r="W88" s="14" t="str">
        <x:v>Prazo varia por destino; revisar linha</x:v>
      </x:c>
      <x:c r="X88"/>
      <x:c r="Y88"/>
      <x:c r="Z88"/>
      <x:c r="AA88"/>
      <x:c r="AB88"/>
      <x:c r="AC88" t="str">
        <x:v>SIM</x:v>
      </x:c>
      <x:c r="AD88" t="str">
        <x:v>L&amp;N</x:v>
      </x:c>
      <x:c r="AE88" s="12" t="str">
        <x:v>PERCENTUAL</x:v>
      </x:c>
      <x:c r="AF88" s="12"/>
      <x:c r="AG88" s="12" t="str">
        <x:v>2.6.44</x:v>
      </x:c>
      <x:c r="AH88" s="12" t="str">
        <x:v>Frete base × percentual; aplicar frete mínimo quando maior. Bloco percentual ativado; controle visual passivo.</x:v>
      </x:c>
      <x:c r="AI88"/>
    </x:row>
    <x:row r="89">
      <x:c r="A89" s="14" t="str">
        <x:v>LN_0088</x:v>
      </x:c>
      <x:c r="B89" s="14" t="str">
        <x:v>LN</x:v>
      </x:c>
      <x:c r="C89" s="14"/>
      <x:c r="D89" s="14"/>
      <x:c r="E89" s="14" t="str">
        <x:v>Marabá</x:v>
      </x:c>
      <x:c r="F89" s="14" t="str">
        <x:v>PA</x:v>
      </x:c>
      <x:c r="G89" s="14" t="str">
        <x:v>Piçarra</x:v>
      </x:c>
      <x:c r="H89" s="14" t="str">
        <x:v>PA</x:v>
      </x:c>
      <x:c r="I89" s="14" t="str">
        <x:v>MAB</x:v>
      </x:c>
      <x:c r="J89" s="14" t="str">
        <x:v>Polo/Região Interior</x:v>
      </x:c>
      <x:c r="K89" s="14" t="str">
        <x:v>27%</x:v>
      </x:c>
      <x:c r="L89" s="46" t="n">
        <x:v>65</x:v>
      </x:c>
      <x:c r="M89" s="46"/>
      <x:c r="N89" s="46"/>
      <x:c r="O89" s="14"/>
      <x:c r="P89" s="14" t="str">
        <x:v>D+4/D+5</x:v>
      </x:c>
      <x:c r="Q89" s="14"/>
      <x:c r="R89" s="14" t="str">
        <x:v>ORIGINAL</x:v>
      </x:c>
      <x:c r="S89" s="14" t="str">
        <x:v>NÃO</x:v>
      </x:c>
      <x:c r="T89" s="14" t="str">
        <x:v>REVISAR_OK</x:v>
      </x:c>
      <x:c r="U89" s="14" t="str">
        <x:v>doc20620720260704143045.pdf</x:v>
      </x:c>
      <x:c r="V89" s="14" t="str">
        <x:v>1</x:v>
      </x:c>
      <x:c r="W89" s="14" t="str">
        <x:v>Prazo varia por destino; revisar linha</x:v>
      </x:c>
      <x:c r="X89"/>
      <x:c r="Y89"/>
      <x:c r="Z89"/>
      <x:c r="AA89"/>
      <x:c r="AB89"/>
      <x:c r="AC89" t="str">
        <x:v>SIM</x:v>
      </x:c>
      <x:c r="AD89" t="str">
        <x:v>L&amp;N</x:v>
      </x:c>
      <x:c r="AE89" s="12" t="str">
        <x:v>PERCENTUAL</x:v>
      </x:c>
      <x:c r="AF89" s="12"/>
      <x:c r="AG89" s="12" t="str">
        <x:v>2.6.44</x:v>
      </x:c>
      <x:c r="AH89" s="12" t="str">
        <x:v>Frete base × percentual; aplicar frete mínimo quando maior. Bloco percentual ativado; controle visual passivo.</x:v>
      </x:c>
      <x:c r="AI89"/>
    </x:row>
    <x:row r="90">
      <x:c r="A90" s="14" t="str">
        <x:v>LN_0089</x:v>
      </x:c>
      <x:c r="B90" s="14" t="str">
        <x:v>LN</x:v>
      </x:c>
      <x:c r="C90" s="14"/>
      <x:c r="D90" s="14"/>
      <x:c r="E90" s="14" t="str">
        <x:v>Marabá</x:v>
      </x:c>
      <x:c r="F90" s="14" t="str">
        <x:v>PA</x:v>
      </x:c>
      <x:c r="G90" s="14" t="str">
        <x:v>Rondon do Pará</x:v>
      </x:c>
      <x:c r="H90" s="14" t="str">
        <x:v>PA</x:v>
      </x:c>
      <x:c r="I90" s="14" t="str">
        <x:v>MAB</x:v>
      </x:c>
      <x:c r="J90" s="14" t="str">
        <x:v>Polo/Região Interior</x:v>
      </x:c>
      <x:c r="K90" s="14" t="str">
        <x:v>27%</x:v>
      </x:c>
      <x:c r="L90" s="46" t="n">
        <x:v>65</x:v>
      </x:c>
      <x:c r="M90" s="46"/>
      <x:c r="N90" s="46"/>
      <x:c r="O90" s="14"/>
      <x:c r="P90" s="14" t="str">
        <x:v>D+4/D+5</x:v>
      </x:c>
      <x:c r="Q90" s="14"/>
      <x:c r="R90" s="14" t="str">
        <x:v>ORIGINAL</x:v>
      </x:c>
      <x:c r="S90" s="14" t="str">
        <x:v>NÃO</x:v>
      </x:c>
      <x:c r="T90" s="14" t="str">
        <x:v>REVISAR_OK</x:v>
      </x:c>
      <x:c r="U90" s="14" t="str">
        <x:v>doc20620720260704143045.pdf</x:v>
      </x:c>
      <x:c r="V90" s="14" t="str">
        <x:v>1</x:v>
      </x:c>
      <x:c r="W90" s="14" t="str">
        <x:v>Prazo varia por destino; revisar linha</x:v>
      </x:c>
      <x:c r="X90"/>
      <x:c r="Y90"/>
      <x:c r="Z90"/>
      <x:c r="AA90"/>
      <x:c r="AB90"/>
      <x:c r="AC90" t="str">
        <x:v>SIM</x:v>
      </x:c>
      <x:c r="AD90" t="str">
        <x:v>L&amp;N</x:v>
      </x:c>
      <x:c r="AE90" s="12" t="str">
        <x:v>PERCENTUAL</x:v>
      </x:c>
      <x:c r="AF90" s="12"/>
      <x:c r="AG90" s="12" t="str">
        <x:v>2.6.44</x:v>
      </x:c>
      <x:c r="AH90" s="12" t="str">
        <x:v>Frete base × percentual; aplicar frete mínimo quando maior. Bloco percentual ativado; controle visual passivo.</x:v>
      </x:c>
      <x:c r="AI90"/>
    </x:row>
    <x:row r="91">
      <x:c r="A91" s="14" t="str">
        <x:v>LN_0090</x:v>
      </x:c>
      <x:c r="B91" s="14" t="str">
        <x:v>LN</x:v>
      </x:c>
      <x:c r="C91" s="14"/>
      <x:c r="D91" s="14"/>
      <x:c r="E91" s="14" t="str">
        <x:v>Marabá</x:v>
      </x:c>
      <x:c r="F91" s="14" t="str">
        <x:v>PA</x:v>
      </x:c>
      <x:c r="G91" s="14" t="str">
        <x:v>São Domingos do Araguaia</x:v>
      </x:c>
      <x:c r="H91" s="14" t="str">
        <x:v>PA</x:v>
      </x:c>
      <x:c r="I91" s="14" t="str">
        <x:v>MAB</x:v>
      </x:c>
      <x:c r="J91" s="14" t="str">
        <x:v>Polo/Região Interior</x:v>
      </x:c>
      <x:c r="K91" s="14" t="str">
        <x:v>27%</x:v>
      </x:c>
      <x:c r="L91" s="46" t="n">
        <x:v>65</x:v>
      </x:c>
      <x:c r="M91" s="46"/>
      <x:c r="N91" s="46"/>
      <x:c r="O91" s="14"/>
      <x:c r="P91" s="14" t="str">
        <x:v>D+4/D+5</x:v>
      </x:c>
      <x:c r="Q91" s="14"/>
      <x:c r="R91" s="14" t="str">
        <x:v>ORIGINAL</x:v>
      </x:c>
      <x:c r="S91" s="14" t="str">
        <x:v>NÃO</x:v>
      </x:c>
      <x:c r="T91" s="14" t="str">
        <x:v>REVISAR_OK</x:v>
      </x:c>
      <x:c r="U91" s="14" t="str">
        <x:v>doc20620720260704143045.pdf</x:v>
      </x:c>
      <x:c r="V91" s="14" t="str">
        <x:v>1</x:v>
      </x:c>
      <x:c r="W91" s="14" t="str">
        <x:v>Prazo varia por destino; revisar linha</x:v>
      </x:c>
      <x:c r="X91"/>
      <x:c r="Y91"/>
      <x:c r="Z91"/>
      <x:c r="AA91"/>
      <x:c r="AB91"/>
      <x:c r="AC91" t="str">
        <x:v>SIM</x:v>
      </x:c>
      <x:c r="AD91" t="str">
        <x:v>L&amp;N</x:v>
      </x:c>
      <x:c r="AE91" s="12" t="str">
        <x:v>PERCENTUAL</x:v>
      </x:c>
      <x:c r="AF91" s="12"/>
      <x:c r="AG91" s="12" t="str">
        <x:v>2.6.44</x:v>
      </x:c>
      <x:c r="AH91" s="12" t="str">
        <x:v>Frete base × percentual; aplicar frete mínimo quando maior. Bloco percentual ativado; controle visual passivo.</x:v>
      </x:c>
      <x:c r="AI91"/>
    </x:row>
    <x:row r="92">
      <x:c r="A92" s="14" t="str">
        <x:v>LN_0091</x:v>
      </x:c>
      <x:c r="B92" s="14" t="str">
        <x:v>LN</x:v>
      </x:c>
      <x:c r="C92" s="14"/>
      <x:c r="D92" s="14"/>
      <x:c r="E92" s="14" t="str">
        <x:v>Marabá</x:v>
      </x:c>
      <x:c r="F92" s="14" t="str">
        <x:v>PA</x:v>
      </x:c>
      <x:c r="G92" s="14" t="str">
        <x:v>São Geraldo do Araguaia</x:v>
      </x:c>
      <x:c r="H92" s="14" t="str">
        <x:v>PA</x:v>
      </x:c>
      <x:c r="I92" s="14" t="str">
        <x:v>MAB</x:v>
      </x:c>
      <x:c r="J92" s="14" t="str">
        <x:v>Polo/Região Interior</x:v>
      </x:c>
      <x:c r="K92" s="14" t="str">
        <x:v>27%</x:v>
      </x:c>
      <x:c r="L92" s="46" t="n">
        <x:v>65</x:v>
      </x:c>
      <x:c r="M92" s="46"/>
      <x:c r="N92" s="46"/>
      <x:c r="O92" s="14"/>
      <x:c r="P92" s="14" t="str">
        <x:v>D+4/D+5</x:v>
      </x:c>
      <x:c r="Q92" s="14"/>
      <x:c r="R92" s="14" t="str">
        <x:v>ORIGINAL</x:v>
      </x:c>
      <x:c r="S92" s="14" t="str">
        <x:v>NÃO</x:v>
      </x:c>
      <x:c r="T92" s="14" t="str">
        <x:v>REVISAR_OK</x:v>
      </x:c>
      <x:c r="U92" s="14" t="str">
        <x:v>doc20620720260704143045.pdf</x:v>
      </x:c>
      <x:c r="V92" s="14" t="str">
        <x:v>1</x:v>
      </x:c>
      <x:c r="W92" s="14" t="str">
        <x:v>Prazo varia por destino; revisar linha</x:v>
      </x:c>
      <x:c r="X92"/>
      <x:c r="Y92"/>
      <x:c r="Z92"/>
      <x:c r="AA92"/>
      <x:c r="AB92"/>
      <x:c r="AC92" t="str">
        <x:v>SIM</x:v>
      </x:c>
      <x:c r="AD92" t="str">
        <x:v>L&amp;N</x:v>
      </x:c>
      <x:c r="AE92" s="12" t="str">
        <x:v>PERCENTUAL</x:v>
      </x:c>
      <x:c r="AF92" s="12"/>
      <x:c r="AG92" s="12" t="str">
        <x:v>2.6.44</x:v>
      </x:c>
      <x:c r="AH92" s="12" t="str">
        <x:v>Frete base × percentual; aplicar frete mínimo quando maior. Bloco percentual ativado; controle visual passivo.</x:v>
      </x:c>
      <x:c r="AI92"/>
    </x:row>
    <x:row r="93">
      <x:c r="A93" s="14" t="str">
        <x:v>LN_0092</x:v>
      </x:c>
      <x:c r="B93" s="14" t="str">
        <x:v>LN</x:v>
      </x:c>
      <x:c r="C93" s="14"/>
      <x:c r="D93" s="14"/>
      <x:c r="E93" s="14" t="str">
        <x:v>Marabá</x:v>
      </x:c>
      <x:c r="F93" s="14" t="str">
        <x:v>PA</x:v>
      </x:c>
      <x:c r="G93" s="14" t="str">
        <x:v>São João do Araguaia</x:v>
      </x:c>
      <x:c r="H93" s="14" t="str">
        <x:v>PA</x:v>
      </x:c>
      <x:c r="I93" s="14" t="str">
        <x:v>MAB</x:v>
      </x:c>
      <x:c r="J93" s="14" t="str">
        <x:v>Polo/Região Interior</x:v>
      </x:c>
      <x:c r="K93" s="14" t="str">
        <x:v>27%</x:v>
      </x:c>
      <x:c r="L93" s="46" t="n">
        <x:v>65</x:v>
      </x:c>
      <x:c r="M93" s="46"/>
      <x:c r="N93" s="46"/>
      <x:c r="O93" s="14"/>
      <x:c r="P93" s="14" t="str">
        <x:v>D+4/D+5</x:v>
      </x:c>
      <x:c r="Q93" s="14"/>
      <x:c r="R93" s="14" t="str">
        <x:v>ORIGINAL</x:v>
      </x:c>
      <x:c r="S93" s="14" t="str">
        <x:v>NÃO</x:v>
      </x:c>
      <x:c r="T93" s="14" t="str">
        <x:v>REVISAR_OK</x:v>
      </x:c>
      <x:c r="U93" s="14" t="str">
        <x:v>doc20620720260704143045.pdf</x:v>
      </x:c>
      <x:c r="V93" s="14" t="str">
        <x:v>1</x:v>
      </x:c>
      <x:c r="W93" s="14" t="str">
        <x:v>Prazo varia por destino; revisar linha</x:v>
      </x:c>
      <x:c r="X93"/>
      <x:c r="Y93"/>
      <x:c r="Z93"/>
      <x:c r="AA93"/>
      <x:c r="AB93"/>
      <x:c r="AC93" t="str">
        <x:v>SIM</x:v>
      </x:c>
      <x:c r="AD93" t="str">
        <x:v>L&amp;N</x:v>
      </x:c>
      <x:c r="AE93" s="12" t="str">
        <x:v>PERCENTUAL</x:v>
      </x:c>
      <x:c r="AF93" s="12"/>
      <x:c r="AG93" s="12" t="str">
        <x:v>2.6.44</x:v>
      </x:c>
      <x:c r="AH93" s="12" t="str">
        <x:v>Frete base × percentual; aplicar frete mínimo quando maior. Bloco percentual ativado; controle visual passivo.</x:v>
      </x:c>
      <x:c r="AI93"/>
    </x:row>
    <x:row r="94">
      <x:c r="A94" s="14" t="str">
        <x:v>LN_0093</x:v>
      </x:c>
      <x:c r="B94" s="14" t="str">
        <x:v>LN</x:v>
      </x:c>
      <x:c r="C94" s="14"/>
      <x:c r="D94" s="14"/>
      <x:c r="E94" s="14" t="str">
        <x:v>Marabá</x:v>
      </x:c>
      <x:c r="F94" s="14" t="str">
        <x:v>PA</x:v>
      </x:c>
      <x:c r="G94" s="14" t="str">
        <x:v>Tailândia</x:v>
      </x:c>
      <x:c r="H94" s="14" t="str">
        <x:v>PA</x:v>
      </x:c>
      <x:c r="I94" s="14" t="str">
        <x:v>MAB</x:v>
      </x:c>
      <x:c r="J94" s="14" t="str">
        <x:v>Polo/Região Interior</x:v>
      </x:c>
      <x:c r="K94" s="14" t="str">
        <x:v>27%</x:v>
      </x:c>
      <x:c r="L94" s="46" t="n">
        <x:v>65</x:v>
      </x:c>
      <x:c r="M94" s="46"/>
      <x:c r="N94" s="46"/>
      <x:c r="O94" s="14"/>
      <x:c r="P94" s="14" t="str">
        <x:v>D+4/D+5</x:v>
      </x:c>
      <x:c r="Q94" s="14"/>
      <x:c r="R94" s="14" t="str">
        <x:v>ORIGINAL</x:v>
      </x:c>
      <x:c r="S94" s="14" t="str">
        <x:v>NÃO</x:v>
      </x:c>
      <x:c r="T94" s="14" t="str">
        <x:v>REVISAR_OK</x:v>
      </x:c>
      <x:c r="U94" s="14" t="str">
        <x:v>doc20620720260704143045.pdf</x:v>
      </x:c>
      <x:c r="V94" s="14" t="str">
        <x:v>1</x:v>
      </x:c>
      <x:c r="W94" s="14" t="str">
        <x:v>Prazo varia por destino; revisar linha</x:v>
      </x:c>
      <x:c r="X94"/>
      <x:c r="Y94"/>
      <x:c r="Z94"/>
      <x:c r="AA94"/>
      <x:c r="AB94"/>
      <x:c r="AC94" t="str">
        <x:v>SIM</x:v>
      </x:c>
      <x:c r="AD94" t="str">
        <x:v>L&amp;N</x:v>
      </x:c>
      <x:c r="AE94" s="12" t="str">
        <x:v>PERCENTUAL</x:v>
      </x:c>
      <x:c r="AF94" s="12"/>
      <x:c r="AG94" s="12" t="str">
        <x:v>2.6.44</x:v>
      </x:c>
      <x:c r="AH94" s="12" t="str">
        <x:v>Frete base × percentual; aplicar frete mínimo quando maior. Bloco percentual ativado; controle visual passivo.</x:v>
      </x:c>
      <x:c r="AI94"/>
    </x:row>
    <x:row r="95">
      <x:c r="A95" s="14" t="str">
        <x:v>LN_0094</x:v>
      </x:c>
      <x:c r="B95" s="14" t="str">
        <x:v>LN</x:v>
      </x:c>
      <x:c r="C95" s="14"/>
      <x:c r="D95" s="14"/>
      <x:c r="E95" s="14" t="str">
        <x:v>Marabá</x:v>
      </x:c>
      <x:c r="F95" s="14" t="str">
        <x:v>PA</x:v>
      </x:c>
      <x:c r="G95" s="14" t="str">
        <x:v>Tucuruí</x:v>
      </x:c>
      <x:c r="H95" s="14" t="str">
        <x:v>PA</x:v>
      </x:c>
      <x:c r="I95" s="14" t="str">
        <x:v>MAB</x:v>
      </x:c>
      <x:c r="J95" s="14" t="str">
        <x:v>Polo/Região Interior</x:v>
      </x:c>
      <x:c r="K95" s="14" t="str">
        <x:v>27%</x:v>
      </x:c>
      <x:c r="L95" s="46" t="n">
        <x:v>65</x:v>
      </x:c>
      <x:c r="M95" s="46"/>
      <x:c r="N95" s="46"/>
      <x:c r="O95" s="14"/>
      <x:c r="P95" s="14" t="str">
        <x:v>D+4/D+5</x:v>
      </x:c>
      <x:c r="Q95" s="14"/>
      <x:c r="R95" s="14" t="str">
        <x:v>ORIGINAL</x:v>
      </x:c>
      <x:c r="S95" s="14" t="str">
        <x:v>NÃO</x:v>
      </x:c>
      <x:c r="T95" s="14" t="str">
        <x:v>REVISAR_OK</x:v>
      </x:c>
      <x:c r="U95" s="14" t="str">
        <x:v>doc20620720260704143045.pdf</x:v>
      </x:c>
      <x:c r="V95" s="14" t="str">
        <x:v>1</x:v>
      </x:c>
      <x:c r="W95" s="14" t="str">
        <x:v>Prazo varia por destino; revisar linha</x:v>
      </x:c>
      <x:c r="X95"/>
      <x:c r="Y95"/>
      <x:c r="Z95"/>
      <x:c r="AA95"/>
      <x:c r="AB95"/>
      <x:c r="AC95" t="str">
        <x:v>SIM</x:v>
      </x:c>
      <x:c r="AD95" t="str">
        <x:v>L&amp;N</x:v>
      </x:c>
      <x:c r="AE95" s="12" t="str">
        <x:v>PERCENTUAL</x:v>
      </x:c>
      <x:c r="AF95" s="12"/>
      <x:c r="AG95" s="12" t="str">
        <x:v>2.6.44</x:v>
      </x:c>
      <x:c r="AH95" s="12" t="str">
        <x:v>Frete base × percentual; aplicar frete mínimo quando maior. Bloco percentual ativado; controle visual passivo.</x:v>
      </x:c>
      <x:c r="AI95"/>
    </x:row>
    <x:row r="96">
      <x:c r="A96" s="14" t="str">
        <x:v>LN_0095</x:v>
      </x:c>
      <x:c r="B96" s="14" t="str">
        <x:v>LN</x:v>
      </x:c>
      <x:c r="C96" s="14"/>
      <x:c r="D96" s="14"/>
      <x:c r="E96" s="14" t="str">
        <x:v>Marabá</x:v>
      </x:c>
      <x:c r="F96" s="14" t="str">
        <x:v>PA</x:v>
      </x:c>
      <x:c r="G96" s="14" t="str">
        <x:v>Ulianópolis</x:v>
      </x:c>
      <x:c r="H96" s="14" t="str">
        <x:v>PA</x:v>
      </x:c>
      <x:c r="I96" s="14" t="str">
        <x:v>MAB</x:v>
      </x:c>
      <x:c r="J96" s="14" t="str">
        <x:v>Polo/Região Interior</x:v>
      </x:c>
      <x:c r="K96" s="14" t="str">
        <x:v>27%</x:v>
      </x:c>
      <x:c r="L96" s="46" t="n">
        <x:v>65</x:v>
      </x:c>
      <x:c r="M96" s="46"/>
      <x:c r="N96" s="46"/>
      <x:c r="O96" s="14"/>
      <x:c r="P96" s="14" t="str">
        <x:v>D+4/D+5</x:v>
      </x:c>
      <x:c r="Q96" s="14"/>
      <x:c r="R96" s="14" t="str">
        <x:v>ORIGINAL</x:v>
      </x:c>
      <x:c r="S96" s="14" t="str">
        <x:v>NÃO</x:v>
      </x:c>
      <x:c r="T96" s="14" t="str">
        <x:v>REVISAR_OK</x:v>
      </x:c>
      <x:c r="U96" s="14" t="str">
        <x:v>doc20620720260704143045.pdf</x:v>
      </x:c>
      <x:c r="V96" s="14" t="str">
        <x:v>1</x:v>
      </x:c>
      <x:c r="W96" s="14" t="str">
        <x:v>Prazo varia por destino; revisar linha</x:v>
      </x:c>
      <x:c r="X96"/>
      <x:c r="Y96"/>
      <x:c r="Z96"/>
      <x:c r="AA96"/>
      <x:c r="AB96"/>
      <x:c r="AC96" t="str">
        <x:v>SIM</x:v>
      </x:c>
      <x:c r="AD96" t="str">
        <x:v>L&amp;N</x:v>
      </x:c>
      <x:c r="AE96" s="12" t="str">
        <x:v>PERCENTUAL</x:v>
      </x:c>
      <x:c r="AF96" s="12"/>
      <x:c r="AG96" s="12" t="str">
        <x:v>2.6.44</x:v>
      </x:c>
      <x:c r="AH96" s="12" t="str">
        <x:v>Frete base × percentual; aplicar frete mínimo quando maior. Bloco percentual ativado; controle visual passivo.</x:v>
      </x:c>
      <x:c r="AI96"/>
    </x:row>
    <x:row r="97">
      <x:c r="A97" s="14" t="str">
        <x:v>LN_0096</x:v>
      </x:c>
      <x:c r="B97" s="14" t="str">
        <x:v>LN</x:v>
      </x:c>
      <x:c r="C97" s="14"/>
      <x:c r="D97" s="14"/>
      <x:c r="E97" s="14" t="str">
        <x:v>Marabá</x:v>
      </x:c>
      <x:c r="F97" s="14" t="str">
        <x:v>PA</x:v>
      </x:c>
      <x:c r="G97" s="14" t="str">
        <x:v>Banach</x:v>
      </x:c>
      <x:c r="H97" s="14" t="str">
        <x:v>PA</x:v>
      </x:c>
      <x:c r="I97" s="14" t="str">
        <x:v>RED</x:v>
      </x:c>
      <x:c r="J97" s="14"/>
      <x:c r="K97" s="14" t="str">
        <x:v>28%</x:v>
      </x:c>
      <x:c r="L97" s="46" t="n">
        <x:v>70</x:v>
      </x:c>
      <x:c r="M97" s="46"/>
      <x:c r="N97" s="46"/>
      <x:c r="O97" s="14"/>
      <x:c r="P97" s="14" t="str">
        <x:v>D+5/D+6</x:v>
      </x:c>
      <x:c r="Q97" s="14"/>
      <x:c r="R97" s="14" t="str">
        <x:v>ORIGINAL</x:v>
      </x:c>
      <x:c r="S97" s="14" t="str">
        <x:v>NÃO</x:v>
      </x:c>
      <x:c r="T97" s="14" t="str">
        <x:v>REVISAR_OK</x:v>
      </x:c>
      <x:c r="U97" s="14" t="str">
        <x:v>doc20620720260704143045.pdf</x:v>
      </x:c>
      <x:c r="V97" s="14" t="str">
        <x:v>1</x:v>
      </x:c>
      <x:c r="W97" s="14" t="str">
        <x:v>Revisar prazo por destino</x:v>
      </x:c>
      <x:c r="X97"/>
      <x:c r="Y97"/>
      <x:c r="Z97"/>
      <x:c r="AA97"/>
      <x:c r="AB97"/>
      <x:c r="AC97" t="str">
        <x:v>SIM</x:v>
      </x:c>
      <x:c r="AD97" t="str">
        <x:v>L&amp;N</x:v>
      </x:c>
      <x:c r="AE97" s="12" t="str">
        <x:v>PERCENTUAL</x:v>
      </x:c>
      <x:c r="AF97" s="12"/>
      <x:c r="AG97" s="12" t="str">
        <x:v>2.6.44</x:v>
      </x:c>
      <x:c r="AH97" s="12" t="str">
        <x:v>Frete base × percentual; aplicar frete mínimo quando maior. Bloco percentual ativado; controle visual passivo.</x:v>
      </x:c>
      <x:c r="AI97"/>
    </x:row>
    <x:row r="98">
      <x:c r="A98" s="14" t="str">
        <x:v>LN_0097</x:v>
      </x:c>
      <x:c r="B98" s="14" t="str">
        <x:v>LN</x:v>
      </x:c>
      <x:c r="C98" s="14"/>
      <x:c r="D98" s="14"/>
      <x:c r="E98" s="14" t="str">
        <x:v>Marabá</x:v>
      </x:c>
      <x:c r="F98" s="14" t="str">
        <x:v>PA</x:v>
      </x:c>
      <x:c r="G98" s="14" t="str">
        <x:v>Conceição do Araguaia</x:v>
      </x:c>
      <x:c r="H98" s="14" t="str">
        <x:v>PA</x:v>
      </x:c>
      <x:c r="I98" s="14" t="str">
        <x:v>RED</x:v>
      </x:c>
      <x:c r="J98" s="14"/>
      <x:c r="K98" s="14" t="str">
        <x:v>28%</x:v>
      </x:c>
      <x:c r="L98" s="46" t="n">
        <x:v>70</x:v>
      </x:c>
      <x:c r="M98" s="46"/>
      <x:c r="N98" s="46"/>
      <x:c r="O98" s="14"/>
      <x:c r="P98" s="14" t="str">
        <x:v>D+5/D+6</x:v>
      </x:c>
      <x:c r="Q98" s="14"/>
      <x:c r="R98" s="14" t="str">
        <x:v>ORIGINAL</x:v>
      </x:c>
      <x:c r="S98" s="14" t="str">
        <x:v>NÃO</x:v>
      </x:c>
      <x:c r="T98" s="14" t="str">
        <x:v>REVISAR_OK</x:v>
      </x:c>
      <x:c r="U98" s="14" t="str">
        <x:v>doc20620720260704143045.pdf</x:v>
      </x:c>
      <x:c r="V98" s="14" t="str">
        <x:v>1</x:v>
      </x:c>
      <x:c r="W98" s="14" t="str">
        <x:v>Revisar prazo por destino</x:v>
      </x:c>
      <x:c r="X98"/>
      <x:c r="Y98"/>
      <x:c r="Z98"/>
      <x:c r="AA98"/>
      <x:c r="AB98"/>
      <x:c r="AC98" t="str">
        <x:v>SIM</x:v>
      </x:c>
      <x:c r="AD98" t="str">
        <x:v>L&amp;N</x:v>
      </x:c>
      <x:c r="AE98" s="12" t="str">
        <x:v>PERCENTUAL</x:v>
      </x:c>
      <x:c r="AF98" s="12"/>
      <x:c r="AG98" s="12" t="str">
        <x:v>2.6.44</x:v>
      </x:c>
      <x:c r="AH98" s="12" t="str">
        <x:v>Frete base × percentual; aplicar frete mínimo quando maior. Bloco percentual ativado; controle visual passivo.</x:v>
      </x:c>
      <x:c r="AI98"/>
    </x:row>
    <x:row r="99">
      <x:c r="A99" s="14" t="str">
        <x:v>LN_0098</x:v>
      </x:c>
      <x:c r="B99" s="14" t="str">
        <x:v>LN</x:v>
      </x:c>
      <x:c r="C99" s="14"/>
      <x:c r="D99" s="14"/>
      <x:c r="E99" s="14" t="str">
        <x:v>Marabá</x:v>
      </x:c>
      <x:c r="F99" s="14" t="str">
        <x:v>PA</x:v>
      </x:c>
      <x:c r="G99" s="14" t="str">
        <x:v>Cumaru do Norte</x:v>
      </x:c>
      <x:c r="H99" s="14" t="str">
        <x:v>PA</x:v>
      </x:c>
      <x:c r="I99" s="14" t="str">
        <x:v>RED</x:v>
      </x:c>
      <x:c r="J99" s="14"/>
      <x:c r="K99" s="14" t="str">
        <x:v>28%</x:v>
      </x:c>
      <x:c r="L99" s="46" t="n">
        <x:v>70</x:v>
      </x:c>
      <x:c r="M99" s="46"/>
      <x:c r="N99" s="46"/>
      <x:c r="O99" s="14"/>
      <x:c r="P99" s="14" t="str">
        <x:v>D+5/D+6</x:v>
      </x:c>
      <x:c r="Q99" s="14"/>
      <x:c r="R99" s="14" t="str">
        <x:v>ORIGINAL</x:v>
      </x:c>
      <x:c r="S99" s="14" t="str">
        <x:v>NÃO</x:v>
      </x:c>
      <x:c r="T99" s="14" t="str">
        <x:v>REVISAR_OK</x:v>
      </x:c>
      <x:c r="U99" s="14" t="str">
        <x:v>doc20620720260704143045.pdf</x:v>
      </x:c>
      <x:c r="V99" s="14" t="str">
        <x:v>1</x:v>
      </x:c>
      <x:c r="W99" s="14" t="str">
        <x:v>Revisar prazo por destino</x:v>
      </x:c>
      <x:c r="X99"/>
      <x:c r="Y99"/>
      <x:c r="Z99"/>
      <x:c r="AA99"/>
      <x:c r="AB99"/>
      <x:c r="AC99" t="str">
        <x:v>SIM</x:v>
      </x:c>
      <x:c r="AD99" t="str">
        <x:v>L&amp;N</x:v>
      </x:c>
      <x:c r="AE99" s="12" t="str">
        <x:v>PERCENTUAL</x:v>
      </x:c>
      <x:c r="AF99" s="12"/>
      <x:c r="AG99" s="12" t="str">
        <x:v>2.6.44</x:v>
      </x:c>
      <x:c r="AH99" s="12" t="str">
        <x:v>Frete base × percentual; aplicar frete mínimo quando maior. Bloco percentual ativado; controle visual passivo.</x:v>
      </x:c>
      <x:c r="AI99"/>
    </x:row>
    <x:row r="100">
      <x:c r="A100" s="14" t="str">
        <x:v>LN_0099</x:v>
      </x:c>
      <x:c r="B100" s="14" t="str">
        <x:v>LN</x:v>
      </x:c>
      <x:c r="C100" s="14"/>
      <x:c r="D100" s="14"/>
      <x:c r="E100" s="14" t="str">
        <x:v>Marabá</x:v>
      </x:c>
      <x:c r="F100" s="14" t="str">
        <x:v>PA</x:v>
      </x:c>
      <x:c r="G100" s="14" t="str">
        <x:v>Floresta do Araguaia</x:v>
      </x:c>
      <x:c r="H100" s="14" t="str">
        <x:v>PA</x:v>
      </x:c>
      <x:c r="I100" s="14" t="str">
        <x:v>RED</x:v>
      </x:c>
      <x:c r="J100" s="14"/>
      <x:c r="K100" s="14" t="str">
        <x:v>28%</x:v>
      </x:c>
      <x:c r="L100" s="46" t="n">
        <x:v>70</x:v>
      </x:c>
      <x:c r="M100" s="46"/>
      <x:c r="N100" s="46"/>
      <x:c r="O100" s="14"/>
      <x:c r="P100" s="14" t="str">
        <x:v>D+5/D+6</x:v>
      </x:c>
      <x:c r="Q100" s="14"/>
      <x:c r="R100" s="14" t="str">
        <x:v>ORIGINAL</x:v>
      </x:c>
      <x:c r="S100" s="14" t="str">
        <x:v>NÃO</x:v>
      </x:c>
      <x:c r="T100" s="14" t="str">
        <x:v>REVISAR_OK</x:v>
      </x:c>
      <x:c r="U100" s="14" t="str">
        <x:v>doc20620720260704143045.pdf</x:v>
      </x:c>
      <x:c r="V100" s="14" t="str">
        <x:v>1</x:v>
      </x:c>
      <x:c r="W100" s="14" t="str">
        <x:v>Revisar prazo por destino</x:v>
      </x:c>
      <x:c r="X100"/>
      <x:c r="Y100"/>
      <x:c r="Z100"/>
      <x:c r="AA100"/>
      <x:c r="AB100"/>
      <x:c r="AC100" t="str">
        <x:v>SIM</x:v>
      </x:c>
      <x:c r="AD100" t="str">
        <x:v>L&amp;N</x:v>
      </x:c>
      <x:c r="AE100" s="12" t="str">
        <x:v>PERCENTUAL</x:v>
      </x:c>
      <x:c r="AF100" s="12"/>
      <x:c r="AG100" s="12" t="str">
        <x:v>2.6.44</x:v>
      </x:c>
      <x:c r="AH100" s="12" t="str">
        <x:v>Frete base × percentual; aplicar frete mínimo quando maior. Bloco percentual ativado; controle visual passivo.</x:v>
      </x:c>
      <x:c r="AI100"/>
    </x:row>
    <x:row r="101">
      <x:c r="A101" s="14" t="str">
        <x:v>LN_0100</x:v>
      </x:c>
      <x:c r="B101" s="14" t="str">
        <x:v>LN</x:v>
      </x:c>
      <x:c r="C101" s="14"/>
      <x:c r="D101" s="14"/>
      <x:c r="E101" s="14" t="str">
        <x:v>Marabá</x:v>
      </x:c>
      <x:c r="F101" s="14" t="str">
        <x:v>PA</x:v>
      </x:c>
      <x:c r="G101" s="14" t="str">
        <x:v>Pau D'Arco</x:v>
      </x:c>
      <x:c r="H101" s="14" t="str">
        <x:v>PA</x:v>
      </x:c>
      <x:c r="I101" s="14" t="str">
        <x:v>RED</x:v>
      </x:c>
      <x:c r="J101" s="14"/>
      <x:c r="K101" s="14" t="str">
        <x:v>28%</x:v>
      </x:c>
      <x:c r="L101" s="46" t="n">
        <x:v>70</x:v>
      </x:c>
      <x:c r="M101" s="46"/>
      <x:c r="N101" s="46"/>
      <x:c r="O101" s="14"/>
      <x:c r="P101" s="14" t="str">
        <x:v>D+5/D+6</x:v>
      </x:c>
      <x:c r="Q101" s="14"/>
      <x:c r="R101" s="14" t="str">
        <x:v>ORIGINAL</x:v>
      </x:c>
      <x:c r="S101" s="14" t="str">
        <x:v>NÃO</x:v>
      </x:c>
      <x:c r="T101" s="14" t="str">
        <x:v>REVISAR_OK</x:v>
      </x:c>
      <x:c r="U101" s="14" t="str">
        <x:v>doc20620720260704143045.pdf</x:v>
      </x:c>
      <x:c r="V101" s="14" t="str">
        <x:v>1</x:v>
      </x:c>
      <x:c r="W101" s="14" t="str">
        <x:v>Revisar prazo por destino</x:v>
      </x:c>
      <x:c r="X101"/>
      <x:c r="Y101"/>
      <x:c r="Z101"/>
      <x:c r="AA101"/>
      <x:c r="AB101"/>
      <x:c r="AC101" t="str">
        <x:v>SIM</x:v>
      </x:c>
      <x:c r="AD101" t="str">
        <x:v>L&amp;N</x:v>
      </x:c>
      <x:c r="AE101" s="12" t="str">
        <x:v>PERCENTUAL</x:v>
      </x:c>
      <x:c r="AF101" s="12"/>
      <x:c r="AG101" s="12" t="str">
        <x:v>2.6.44</x:v>
      </x:c>
      <x:c r="AH101" s="12" t="str">
        <x:v>Frete base × percentual; aplicar frete mínimo quando maior. Bloco percentual ativado; controle visual passivo.</x:v>
      </x:c>
      <x:c r="AI101"/>
    </x:row>
    <x:row r="102">
      <x:c r="A102" s="14" t="str">
        <x:v>LN_0101</x:v>
      </x:c>
      <x:c r="B102" s="14" t="str">
        <x:v>LN</x:v>
      </x:c>
      <x:c r="C102" s="14"/>
      <x:c r="D102" s="14"/>
      <x:c r="E102" s="14" t="str">
        <x:v>Marabá</x:v>
      </x:c>
      <x:c r="F102" s="14" t="str">
        <x:v>PA</x:v>
      </x:c>
      <x:c r="G102" s="14" t="str">
        <x:v>Redenção</x:v>
      </x:c>
      <x:c r="H102" s="14" t="str">
        <x:v>PA</x:v>
      </x:c>
      <x:c r="I102" s="14" t="str">
        <x:v>RED</x:v>
      </x:c>
      <x:c r="J102" s="14"/>
      <x:c r="K102" s="14" t="str">
        <x:v>28%</x:v>
      </x:c>
      <x:c r="L102" s="46" t="n">
        <x:v>70</x:v>
      </x:c>
      <x:c r="M102" s="46"/>
      <x:c r="N102" s="46"/>
      <x:c r="O102" s="14"/>
      <x:c r="P102" s="14" t="str">
        <x:v>D+5/D+6</x:v>
      </x:c>
      <x:c r="Q102" s="14"/>
      <x:c r="R102" s="14" t="str">
        <x:v>ORIGINAL</x:v>
      </x:c>
      <x:c r="S102" s="14" t="str">
        <x:v>NÃO</x:v>
      </x:c>
      <x:c r="T102" s="14" t="str">
        <x:v>REVISAR_OK</x:v>
      </x:c>
      <x:c r="U102" s="14" t="str">
        <x:v>doc20620720260704143045.pdf</x:v>
      </x:c>
      <x:c r="V102" s="14" t="str">
        <x:v>1</x:v>
      </x:c>
      <x:c r="W102" s="14" t="str">
        <x:v>Revisar prazo por destino</x:v>
      </x:c>
      <x:c r="X102"/>
      <x:c r="Y102"/>
      <x:c r="Z102"/>
      <x:c r="AA102"/>
      <x:c r="AB102"/>
      <x:c r="AC102" t="str">
        <x:v>SIM</x:v>
      </x:c>
      <x:c r="AD102" t="str">
        <x:v>L&amp;N</x:v>
      </x:c>
      <x:c r="AE102" s="12" t="str">
        <x:v>PERCENTUAL</x:v>
      </x:c>
      <x:c r="AF102" s="12"/>
      <x:c r="AG102" s="12" t="str">
        <x:v>2.6.44</x:v>
      </x:c>
      <x:c r="AH102" s="12" t="str">
        <x:v>Frete base × percentual; aplicar frete mínimo quando maior. Bloco percentual ativado; controle visual passivo.</x:v>
      </x:c>
      <x:c r="AI102"/>
    </x:row>
    <x:row r="103">
      <x:c r="A103" s="14" t="str">
        <x:v>LN_0102</x:v>
      </x:c>
      <x:c r="B103" s="14" t="str">
        <x:v>LN</x:v>
      </x:c>
      <x:c r="C103" s="14"/>
      <x:c r="D103" s="14"/>
      <x:c r="E103" s="14" t="str">
        <x:v>Marabá</x:v>
      </x:c>
      <x:c r="F103" s="14" t="str">
        <x:v>PA</x:v>
      </x:c>
      <x:c r="G103" s="14" t="str">
        <x:v>Rio Maria</x:v>
      </x:c>
      <x:c r="H103" s="14" t="str">
        <x:v>PA</x:v>
      </x:c>
      <x:c r="I103" s="14" t="str">
        <x:v>RED</x:v>
      </x:c>
      <x:c r="J103" s="14"/>
      <x:c r="K103" s="14" t="str">
        <x:v>28%</x:v>
      </x:c>
      <x:c r="L103" s="46" t="n">
        <x:v>70</x:v>
      </x:c>
      <x:c r="M103" s="46"/>
      <x:c r="N103" s="46"/>
      <x:c r="O103" s="14"/>
      <x:c r="P103" s="14" t="str">
        <x:v>D+5/D+6</x:v>
      </x:c>
      <x:c r="Q103" s="14"/>
      <x:c r="R103" s="14" t="str">
        <x:v>ORIGINAL</x:v>
      </x:c>
      <x:c r="S103" s="14" t="str">
        <x:v>NÃO</x:v>
      </x:c>
      <x:c r="T103" s="14" t="str">
        <x:v>REVISAR_OK</x:v>
      </x:c>
      <x:c r="U103" s="14" t="str">
        <x:v>doc20620720260704143045.pdf</x:v>
      </x:c>
      <x:c r="V103" s="14" t="str">
        <x:v>1</x:v>
      </x:c>
      <x:c r="W103" s="14" t="str">
        <x:v>Revisar prazo por destino</x:v>
      </x:c>
      <x:c r="X103"/>
      <x:c r="Y103"/>
      <x:c r="Z103"/>
      <x:c r="AA103"/>
      <x:c r="AB103"/>
      <x:c r="AC103" t="str">
        <x:v>SIM</x:v>
      </x:c>
      <x:c r="AD103" t="str">
        <x:v>L&amp;N</x:v>
      </x:c>
      <x:c r="AE103" s="12" t="str">
        <x:v>PERCENTUAL</x:v>
      </x:c>
      <x:c r="AF103" s="12"/>
      <x:c r="AG103" s="12" t="str">
        <x:v>2.6.44</x:v>
      </x:c>
      <x:c r="AH103" s="12" t="str">
        <x:v>Frete base × percentual; aplicar frete mínimo quando maior. Bloco percentual ativado; controle visual passivo.</x:v>
      </x:c>
      <x:c r="AI103"/>
    </x:row>
    <x:row r="104">
      <x:c r="A104" s="14" t="str">
        <x:v>LN_0103</x:v>
      </x:c>
      <x:c r="B104" s="14" t="str">
        <x:v>LN</x:v>
      </x:c>
      <x:c r="C104" s="14"/>
      <x:c r="D104" s="14"/>
      <x:c r="E104" s="14" t="str">
        <x:v>Marabá</x:v>
      </x:c>
      <x:c r="F104" s="14" t="str">
        <x:v>PA</x:v>
      </x:c>
      <x:c r="G104" s="14" t="str">
        <x:v>Santa Maria das Barreiras</x:v>
      </x:c>
      <x:c r="H104" s="14" t="str">
        <x:v>PA</x:v>
      </x:c>
      <x:c r="I104" s="14" t="str">
        <x:v>RED</x:v>
      </x:c>
      <x:c r="J104" s="14"/>
      <x:c r="K104" s="14" t="str">
        <x:v>28%</x:v>
      </x:c>
      <x:c r="L104" s="46" t="n">
        <x:v>70</x:v>
      </x:c>
      <x:c r="M104" s="46"/>
      <x:c r="N104" s="46"/>
      <x:c r="O104" s="14"/>
      <x:c r="P104" s="14" t="str">
        <x:v>D+5/D+6</x:v>
      </x:c>
      <x:c r="Q104" s="14"/>
      <x:c r="R104" s="14" t="str">
        <x:v>ORIGINAL</x:v>
      </x:c>
      <x:c r="S104" s="14" t="str">
        <x:v>NÃO</x:v>
      </x:c>
      <x:c r="T104" s="14" t="str">
        <x:v>REVISAR_OK</x:v>
      </x:c>
      <x:c r="U104" s="14" t="str">
        <x:v>doc20620720260704143045.pdf</x:v>
      </x:c>
      <x:c r="V104" s="14" t="str">
        <x:v>1</x:v>
      </x:c>
      <x:c r="W104" s="14" t="str">
        <x:v>Revisar prazo por destino</x:v>
      </x:c>
      <x:c r="X104"/>
      <x:c r="Y104"/>
      <x:c r="Z104"/>
      <x:c r="AA104"/>
      <x:c r="AB104"/>
      <x:c r="AC104" t="str">
        <x:v>SIM</x:v>
      </x:c>
      <x:c r="AD104" t="str">
        <x:v>L&amp;N</x:v>
      </x:c>
      <x:c r="AE104" s="12" t="str">
        <x:v>PERCENTUAL</x:v>
      </x:c>
      <x:c r="AF104" s="12"/>
      <x:c r="AG104" s="12" t="str">
        <x:v>2.6.44</x:v>
      </x:c>
      <x:c r="AH104" s="12" t="str">
        <x:v>Frete base × percentual; aplicar frete mínimo quando maior. Bloco percentual ativado; controle visual passivo.</x:v>
      </x:c>
      <x:c r="AI104"/>
    </x:row>
    <x:row r="105">
      <x:c r="A105" s="14" t="str">
        <x:v>LN_0104</x:v>
      </x:c>
      <x:c r="B105" s="14" t="str">
        <x:v>LN</x:v>
      </x:c>
      <x:c r="C105" s="14"/>
      <x:c r="D105" s="14"/>
      <x:c r="E105" s="14" t="str">
        <x:v>Marabá</x:v>
      </x:c>
      <x:c r="F105" s="14" t="str">
        <x:v>PA</x:v>
      </x:c>
      <x:c r="G105" s="14" t="str">
        <x:v>Santana do Araguaia</x:v>
      </x:c>
      <x:c r="H105" s="14" t="str">
        <x:v>PA</x:v>
      </x:c>
      <x:c r="I105" s="14" t="str">
        <x:v>RED</x:v>
      </x:c>
      <x:c r="J105" s="14"/>
      <x:c r="K105" s="14" t="str">
        <x:v>28%</x:v>
      </x:c>
      <x:c r="L105" s="46" t="n">
        <x:v>70</x:v>
      </x:c>
      <x:c r="M105" s="46"/>
      <x:c r="N105" s="46"/>
      <x:c r="O105" s="14"/>
      <x:c r="P105" s="14" t="str">
        <x:v>D+5/D+6</x:v>
      </x:c>
      <x:c r="Q105" s="14"/>
      <x:c r="R105" s="14" t="str">
        <x:v>ORIGINAL</x:v>
      </x:c>
      <x:c r="S105" s="14" t="str">
        <x:v>NÃO</x:v>
      </x:c>
      <x:c r="T105" s="14" t="str">
        <x:v>REVISAR_OK</x:v>
      </x:c>
      <x:c r="U105" s="14" t="str">
        <x:v>doc20620720260704143045.pdf</x:v>
      </x:c>
      <x:c r="V105" s="14" t="str">
        <x:v>1</x:v>
      </x:c>
      <x:c r="W105" s="14" t="str">
        <x:v>Revisar prazo por destino</x:v>
      </x:c>
      <x:c r="X105"/>
      <x:c r="Y105"/>
      <x:c r="Z105"/>
      <x:c r="AA105"/>
      <x:c r="AB105"/>
      <x:c r="AC105" t="str">
        <x:v>SIM</x:v>
      </x:c>
      <x:c r="AD105" t="str">
        <x:v>L&amp;N</x:v>
      </x:c>
      <x:c r="AE105" s="12" t="str">
        <x:v>PERCENTUAL</x:v>
      </x:c>
      <x:c r="AF105" s="12"/>
      <x:c r="AG105" s="12" t="str">
        <x:v>2.6.44</x:v>
      </x:c>
      <x:c r="AH105" s="12" t="str">
        <x:v>Frete base × percentual; aplicar frete mínimo quando maior. Bloco percentual ativado; controle visual passivo.</x:v>
      </x:c>
      <x:c r="AI105"/>
    </x:row>
    <x:row r="106">
      <x:c r="A106" s="14" t="str">
        <x:v>LN_0105</x:v>
      </x:c>
      <x:c r="B106" s="14" t="str">
        <x:v>LN</x:v>
      </x:c>
      <x:c r="C106" s="14"/>
      <x:c r="D106" s="14"/>
      <x:c r="E106" s="14" t="str">
        <x:v>Marabá</x:v>
      </x:c>
      <x:c r="F106" s="14" t="str">
        <x:v>PA</x:v>
      </x:c>
      <x:c r="G106" s="14" t="str">
        <x:v>Xinguara</x:v>
      </x:c>
      <x:c r="H106" s="14" t="str">
        <x:v>PA</x:v>
      </x:c>
      <x:c r="I106" s="14" t="str">
        <x:v>XIG</x:v>
      </x:c>
      <x:c r="J106" s="14"/>
      <x:c r="K106" s="14" t="str">
        <x:v>28%</x:v>
      </x:c>
      <x:c r="L106" s="46" t="n">
        <x:v>70</x:v>
      </x:c>
      <x:c r="M106" s="46"/>
      <x:c r="N106" s="46"/>
      <x:c r="O106" s="14"/>
      <x:c r="P106" s="14" t="str">
        <x:v>D+5/D+6</x:v>
      </x:c>
      <x:c r="Q106" s="14"/>
      <x:c r="R106" s="14" t="str">
        <x:v>ORIGINAL</x:v>
      </x:c>
      <x:c r="S106" s="14" t="str">
        <x:v>NÃO</x:v>
      </x:c>
      <x:c r="T106" s="14" t="str">
        <x:v>REVISAR_OK</x:v>
      </x:c>
      <x:c r="U106" s="14" t="str">
        <x:v>doc20620720260704143045.pdf</x:v>
      </x:c>
      <x:c r="V106" s="14" t="str">
        <x:v>1</x:v>
      </x:c>
      <x:c r="W106" s="14" t="str">
        <x:v>Revisar prazo por destino</x:v>
      </x:c>
      <x:c r="X106"/>
      <x:c r="Y106"/>
      <x:c r="Z106"/>
      <x:c r="AA106"/>
      <x:c r="AB106"/>
      <x:c r="AC106" t="str">
        <x:v>SIM</x:v>
      </x:c>
      <x:c r="AD106" t="str">
        <x:v>L&amp;N</x:v>
      </x:c>
      <x:c r="AE106" s="12" t="str">
        <x:v>PERCENTUAL</x:v>
      </x:c>
      <x:c r="AF106" s="12"/>
      <x:c r="AG106" s="12" t="str">
        <x:v>2.6.44</x:v>
      </x:c>
      <x:c r="AH106" s="12" t="str">
        <x:v>Frete base × percentual; aplicar frete mínimo quando maior. Bloco percentual ativado; controle visual passivo.</x:v>
      </x:c>
      <x:c r="AI106"/>
    </x:row>
    <x:row r="107">
      <x:c r="A107" s="14" t="str">
        <x:v>LN_0106</x:v>
      </x:c>
      <x:c r="B107" s="14" t="str">
        <x:v>LN</x:v>
      </x:c>
      <x:c r="C107" s="14"/>
      <x:c r="D107" s="14"/>
      <x:c r="E107" s="14" t="str">
        <x:v>Marabá</x:v>
      </x:c>
      <x:c r="F107" s="14" t="str">
        <x:v>PA</x:v>
      </x:c>
      <x:c r="G107" s="14" t="str">
        <x:v>Sapucaia</x:v>
      </x:c>
      <x:c r="H107" s="14" t="str">
        <x:v>PA</x:v>
      </x:c>
      <x:c r="I107" s="14" t="str">
        <x:v>XIG</x:v>
      </x:c>
      <x:c r="J107" s="14"/>
      <x:c r="K107" s="14" t="str">
        <x:v>28%</x:v>
      </x:c>
      <x:c r="L107" s="46" t="n">
        <x:v>70</x:v>
      </x:c>
      <x:c r="M107" s="46"/>
      <x:c r="N107" s="46"/>
      <x:c r="O107" s="14"/>
      <x:c r="P107" s="14" t="str">
        <x:v>D+5/D+6</x:v>
      </x:c>
      <x:c r="Q107" s="14"/>
      <x:c r="R107" s="14" t="str">
        <x:v>ORIGINAL</x:v>
      </x:c>
      <x:c r="S107" s="14" t="str">
        <x:v>NÃO</x:v>
      </x:c>
      <x:c r="T107" s="14" t="str">
        <x:v>REVISAR_OK</x:v>
      </x:c>
      <x:c r="U107" s="14" t="str">
        <x:v>doc20620720260704143045.pdf</x:v>
      </x:c>
      <x:c r="V107" s="14" t="str">
        <x:v>1</x:v>
      </x:c>
      <x:c r="W107" s="14" t="str">
        <x:v>Revisar prazo por destino</x:v>
      </x:c>
      <x:c r="X107"/>
      <x:c r="Y107"/>
      <x:c r="Z107"/>
      <x:c r="AA107"/>
      <x:c r="AB107"/>
      <x:c r="AC107" t="str">
        <x:v>SIM</x:v>
      </x:c>
      <x:c r="AD107" t="str">
        <x:v>L&amp;N</x:v>
      </x:c>
      <x:c r="AE107" s="12" t="str">
        <x:v>PERCENTUAL</x:v>
      </x:c>
      <x:c r="AF107" s="12"/>
      <x:c r="AG107" s="12" t="str">
        <x:v>2.6.44</x:v>
      </x:c>
      <x:c r="AH107" s="12" t="str">
        <x:v>Frete base × percentual; aplicar frete mínimo quando maior. Bloco percentual ativado; controle visual passivo.</x:v>
      </x:c>
      <x:c r="AI107"/>
    </x:row>
    <x:row r="108">
      <x:c r="A108" s="14" t="str">
        <x:v>LN_0107</x:v>
      </x:c>
      <x:c r="B108" s="14" t="str">
        <x:v>LN</x:v>
      </x:c>
      <x:c r="C108" s="14"/>
      <x:c r="D108" s="14"/>
      <x:c r="E108" s="14" t="str">
        <x:v>Marabá</x:v>
      </x:c>
      <x:c r="F108" s="14" t="str">
        <x:v>PA</x:v>
      </x:c>
      <x:c r="G108" s="14" t="str">
        <x:v>Água Azul do Norte</x:v>
      </x:c>
      <x:c r="H108" s="14" t="str">
        <x:v>PA</x:v>
      </x:c>
      <x:c r="I108" s="14" t="str">
        <x:v>XIG</x:v>
      </x:c>
      <x:c r="J108" s="14"/>
      <x:c r="K108" s="14" t="str">
        <x:v>28%</x:v>
      </x:c>
      <x:c r="L108" s="46" t="n">
        <x:v>70</x:v>
      </x:c>
      <x:c r="M108" s="46"/>
      <x:c r="N108" s="46"/>
      <x:c r="O108" s="14"/>
      <x:c r="P108" s="14" t="str">
        <x:v>D+5/D+6</x:v>
      </x:c>
      <x:c r="Q108" s="14"/>
      <x:c r="R108" s="14" t="str">
        <x:v>ORIGINAL</x:v>
      </x:c>
      <x:c r="S108" s="14" t="str">
        <x:v>NÃO</x:v>
      </x:c>
      <x:c r="T108" s="14" t="str">
        <x:v>REVISAR_OK</x:v>
      </x:c>
      <x:c r="U108" s="14" t="str">
        <x:v>doc20620720260704143045.pdf</x:v>
      </x:c>
      <x:c r="V108" s="14" t="str">
        <x:v>1</x:v>
      </x:c>
      <x:c r="W108" s="14" t="str">
        <x:v>Revisar prazo por destino</x:v>
      </x:c>
      <x:c r="X108"/>
      <x:c r="Y108"/>
      <x:c r="Z108"/>
      <x:c r="AA108"/>
      <x:c r="AB108"/>
      <x:c r="AC108" t="str">
        <x:v>SIM</x:v>
      </x:c>
      <x:c r="AD108" t="str">
        <x:v>L&amp;N</x:v>
      </x:c>
      <x:c r="AE108" s="12" t="str">
        <x:v>PERCENTUAL</x:v>
      </x:c>
      <x:c r="AF108" s="12"/>
      <x:c r="AG108" s="12" t="str">
        <x:v>2.6.44</x:v>
      </x:c>
      <x:c r="AH108" s="12" t="str">
        <x:v>Frete base × percentual; aplicar frete mínimo quando maior. Bloco percentual ativado; controle visual passivo.</x:v>
      </x:c>
      <x:c r="AI108"/>
    </x:row>
    <x:row r="109">
      <x:c r="A109" s="14" t="str">
        <x:v>LN_0108</x:v>
      </x:c>
      <x:c r="B109" s="14" t="str">
        <x:v>LN</x:v>
      </x:c>
      <x:c r="C109" s="14"/>
      <x:c r="D109" s="14"/>
      <x:c r="E109" s="14" t="str">
        <x:v>Marabá</x:v>
      </x:c>
      <x:c r="F109" s="14" t="str">
        <x:v>PA</x:v>
      </x:c>
      <x:c r="G109" s="14" t="str">
        <x:v>Ourilândia</x:v>
      </x:c>
      <x:c r="H109" s="14" t="str">
        <x:v>PA</x:v>
      </x:c>
      <x:c r="I109" s="14" t="str">
        <x:v>XIG</x:v>
      </x:c>
      <x:c r="J109" s="14"/>
      <x:c r="K109" s="14" t="str">
        <x:v>28%</x:v>
      </x:c>
      <x:c r="L109" s="46" t="n">
        <x:v>70</x:v>
      </x:c>
      <x:c r="M109" s="46"/>
      <x:c r="N109" s="46"/>
      <x:c r="O109" s="14"/>
      <x:c r="P109" s="14" t="str">
        <x:v>D+5/D+6</x:v>
      </x:c>
      <x:c r="Q109" s="14"/>
      <x:c r="R109" s="14" t="str">
        <x:v>ORIGINAL</x:v>
      </x:c>
      <x:c r="S109" s="14" t="str">
        <x:v>NÃO</x:v>
      </x:c>
      <x:c r="T109" s="14" t="str">
        <x:v>REVISAR_OK</x:v>
      </x:c>
      <x:c r="U109" s="14" t="str">
        <x:v>doc20620720260704143045.pdf</x:v>
      </x:c>
      <x:c r="V109" s="14" t="str">
        <x:v>1</x:v>
      </x:c>
      <x:c r="W109" s="14" t="str">
        <x:v>Revisar prazo por destino</x:v>
      </x:c>
      <x:c r="X109"/>
      <x:c r="Y109"/>
      <x:c r="Z109"/>
      <x:c r="AA109"/>
      <x:c r="AB109"/>
      <x:c r="AC109" t="str">
        <x:v>SIM</x:v>
      </x:c>
      <x:c r="AD109" t="str">
        <x:v>L&amp;N</x:v>
      </x:c>
      <x:c r="AE109" s="12" t="str">
        <x:v>PERCENTUAL</x:v>
      </x:c>
      <x:c r="AF109" s="12"/>
      <x:c r="AG109" s="12" t="str">
        <x:v>2.6.44</x:v>
      </x:c>
      <x:c r="AH109" s="12" t="str">
        <x:v>Frete base × percentual; aplicar frete mínimo quando maior. Bloco percentual ativado; controle visual passivo.</x:v>
      </x:c>
      <x:c r="AI109"/>
    </x:row>
    <x:row r="110">
      <x:c r="A110" s="14" t="str">
        <x:v>LN_0109</x:v>
      </x:c>
      <x:c r="B110" s="14" t="str">
        <x:v>LN</x:v>
      </x:c>
      <x:c r="C110" s="14"/>
      <x:c r="D110" s="14"/>
      <x:c r="E110" s="14" t="str">
        <x:v>Marabá</x:v>
      </x:c>
      <x:c r="F110" s="14" t="str">
        <x:v>PA</x:v>
      </x:c>
      <x:c r="G110" s="14" t="str">
        <x:v>Tucumã</x:v>
      </x:c>
      <x:c r="H110" s="14" t="str">
        <x:v>PA</x:v>
      </x:c>
      <x:c r="I110" s="14" t="str">
        <x:v>XIG</x:v>
      </x:c>
      <x:c r="J110" s="14"/>
      <x:c r="K110" s="14" t="str">
        <x:v>28%</x:v>
      </x:c>
      <x:c r="L110" s="46" t="n">
        <x:v>70</x:v>
      </x:c>
      <x:c r="M110" s="46"/>
      <x:c r="N110" s="46"/>
      <x:c r="O110" s="14"/>
      <x:c r="P110" s="14" t="str">
        <x:v>D+5/D+6</x:v>
      </x:c>
      <x:c r="Q110" s="14"/>
      <x:c r="R110" s="14" t="str">
        <x:v>ORIGINAL</x:v>
      </x:c>
      <x:c r="S110" s="14" t="str">
        <x:v>NÃO</x:v>
      </x:c>
      <x:c r="T110" s="14" t="str">
        <x:v>REVISAR_OK</x:v>
      </x:c>
      <x:c r="U110" s="14" t="str">
        <x:v>doc20620720260704143045.pdf</x:v>
      </x:c>
      <x:c r="V110" s="14" t="str">
        <x:v>1</x:v>
      </x:c>
      <x:c r="W110" s="14" t="str">
        <x:v>Revisar prazo por destino</x:v>
      </x:c>
      <x:c r="X110"/>
      <x:c r="Y110"/>
      <x:c r="Z110"/>
      <x:c r="AA110"/>
      <x:c r="AB110"/>
      <x:c r="AC110" t="str">
        <x:v>SIM</x:v>
      </x:c>
      <x:c r="AD110" t="str">
        <x:v>L&amp;N</x:v>
      </x:c>
      <x:c r="AE110" s="12" t="str">
        <x:v>PERCENTUAL</x:v>
      </x:c>
      <x:c r="AF110" s="12"/>
      <x:c r="AG110" s="12" t="str">
        <x:v>2.6.44</x:v>
      </x:c>
      <x:c r="AH110" s="12" t="str">
        <x:v>Frete base × percentual; aplicar frete mínimo quando maior. Bloco percentual ativado; controle visual passivo.</x:v>
      </x:c>
      <x:c r="AI110"/>
    </x:row>
    <x:row r="111">
      <x:c r="A111" s="14" t="str">
        <x:v>LN_0110</x:v>
      </x:c>
      <x:c r="B111" s="14" t="str">
        <x:v>LN</x:v>
      </x:c>
      <x:c r="C111" s="14"/>
      <x:c r="D111" s="14"/>
      <x:c r="E111" s="14" t="str">
        <x:v>Marabá</x:v>
      </x:c>
      <x:c r="F111" s="14" t="str">
        <x:v>PA</x:v>
      </x:c>
      <x:c r="G111" s="14" t="str">
        <x:v>São Félix do Xingu</x:v>
      </x:c>
      <x:c r="H111" s="14" t="str">
        <x:v>PA</x:v>
      </x:c>
      <x:c r="I111" s="14" t="str">
        <x:v>XIG</x:v>
      </x:c>
      <x:c r="J111" s="14"/>
      <x:c r="K111" s="14" t="str">
        <x:v>28%</x:v>
      </x:c>
      <x:c r="L111" s="46" t="n">
        <x:v>70</x:v>
      </x:c>
      <x:c r="M111" s="46"/>
      <x:c r="N111" s="46"/>
      <x:c r="O111" s="14"/>
      <x:c r="P111" s="14" t="str">
        <x:v>D+5/D+6</x:v>
      </x:c>
      <x:c r="Q111" s="14"/>
      <x:c r="R111" s="14" t="str">
        <x:v>ORIGINAL</x:v>
      </x:c>
      <x:c r="S111" s="14" t="str">
        <x:v>NÃO</x:v>
      </x:c>
      <x:c r="T111" s="14" t="str">
        <x:v>REVISAR_OK</x:v>
      </x:c>
      <x:c r="U111" s="14" t="str">
        <x:v>doc20620720260704143045.pdf</x:v>
      </x:c>
      <x:c r="V111" s="14" t="str">
        <x:v>1</x:v>
      </x:c>
      <x:c r="W111" s="14" t="str">
        <x:v>Revisar prazo por destino</x:v>
      </x:c>
      <x:c r="X111"/>
      <x:c r="Y111"/>
      <x:c r="Z111"/>
      <x:c r="AA111"/>
      <x:c r="AB111"/>
      <x:c r="AC111" t="str">
        <x:v>SIM</x:v>
      </x:c>
      <x:c r="AD111" t="str">
        <x:v>L&amp;N</x:v>
      </x:c>
      <x:c r="AE111" s="12" t="str">
        <x:v>PERCENTUAL</x:v>
      </x:c>
      <x:c r="AF111" s="12"/>
      <x:c r="AG111" s="12" t="str">
        <x:v>2.6.44</x:v>
      </x:c>
      <x:c r="AH111" s="12" t="str">
        <x:v>Frete base × percentual; aplicar frete mínimo quando maior. Bloco percentual ativado; controle visual passivo.</x:v>
      </x:c>
      <x:c r="AI111"/>
    </x:row>
    <x:row r="112">
      <x:c r="A112" s="14" t="str">
        <x:v>LN_0111</x:v>
      </x:c>
      <x:c r="B112" s="14" t="str">
        <x:v>LN</x:v>
      </x:c>
      <x:c r="C112" s="14"/>
      <x:c r="D112" s="14"/>
      <x:c r="E112" s="14" t="str">
        <x:v>Marabá</x:v>
      </x:c>
      <x:c r="F112" s="14" t="str">
        <x:v>PA</x:v>
      </x:c>
      <x:c r="G112" s="14" t="str">
        <x:v>Altamira</x:v>
      </x:c>
      <x:c r="H112" s="14" t="str">
        <x:v>PA</x:v>
      </x:c>
      <x:c r="I112" s="14" t="str">
        <x:v>ALT</x:v>
      </x:c>
      <x:c r="J112" s="14"/>
      <x:c r="K112" s="14" t="str">
        <x:v>30%</x:v>
      </x:c>
      <x:c r="L112" s="46" t="n">
        <x:v>100</x:v>
      </x:c>
      <x:c r="M112" s="46"/>
      <x:c r="N112" s="46"/>
      <x:c r="O112" s="14"/>
      <x:c r="P112" s="14" t="str">
        <x:v>D+7/D+8</x:v>
      </x:c>
      <x:c r="Q112" s="14"/>
      <x:c r="R112" s="14" t="str">
        <x:v>ORIGINAL</x:v>
      </x:c>
      <x:c r="S112" s="14" t="str">
        <x:v>NÃO</x:v>
      </x:c>
      <x:c r="T112" s="14" t="str">
        <x:v>REVISAR_OK</x:v>
      </x:c>
      <x:c r="U112" s="14" t="str">
        <x:v>doc20620720260704143045.pdf</x:v>
      </x:c>
      <x:c r="V112" s="14" t="str">
        <x:v>1</x:v>
      </x:c>
      <x:c r="W112" s="14" t="str">
        <x:v>Revisar prazo por destino</x:v>
      </x:c>
      <x:c r="X112"/>
      <x:c r="Y112"/>
      <x:c r="Z112"/>
      <x:c r="AA112"/>
      <x:c r="AB112"/>
      <x:c r="AC112" t="str">
        <x:v>SIM</x:v>
      </x:c>
      <x:c r="AD112" t="str">
        <x:v>L&amp;N</x:v>
      </x:c>
      <x:c r="AE112" s="12" t="str">
        <x:v>PERCENTUAL</x:v>
      </x:c>
      <x:c r="AF112" s="12"/>
      <x:c r="AG112" s="12" t="str">
        <x:v>2.6.44</x:v>
      </x:c>
      <x:c r="AH112" s="12" t="str">
        <x:v>Frete base × percentual; aplicar frete mínimo quando maior. Bloco percentual ativado; controle visual passivo.</x:v>
      </x:c>
      <x:c r="AI112"/>
    </x:row>
    <x:row r="113">
      <x:c r="A113" s="14" t="str">
        <x:v>LN_0112</x:v>
      </x:c>
      <x:c r="B113" s="14" t="str">
        <x:v>LN</x:v>
      </x:c>
      <x:c r="C113" s="14"/>
      <x:c r="D113" s="14"/>
      <x:c r="E113" s="14" t="str">
        <x:v>Marabá</x:v>
      </x:c>
      <x:c r="F113" s="14" t="str">
        <x:v>PA</x:v>
      </x:c>
      <x:c r="G113" s="14" t="str">
        <x:v>Anapu</x:v>
      </x:c>
      <x:c r="H113" s="14" t="str">
        <x:v>PA</x:v>
      </x:c>
      <x:c r="I113" s="14" t="str">
        <x:v>ALT</x:v>
      </x:c>
      <x:c r="J113" s="14"/>
      <x:c r="K113" s="14" t="str">
        <x:v>30%</x:v>
      </x:c>
      <x:c r="L113" s="46" t="n">
        <x:v>100</x:v>
      </x:c>
      <x:c r="M113" s="46"/>
      <x:c r="N113" s="46"/>
      <x:c r="O113" s="14"/>
      <x:c r="P113" s="14" t="str">
        <x:v>D+7/D+8</x:v>
      </x:c>
      <x:c r="Q113" s="14"/>
      <x:c r="R113" s="14" t="str">
        <x:v>ORIGINAL</x:v>
      </x:c>
      <x:c r="S113" s="14" t="str">
        <x:v>NÃO</x:v>
      </x:c>
      <x:c r="T113" s="14" t="str">
        <x:v>REVISAR_OK</x:v>
      </x:c>
      <x:c r="U113" s="14" t="str">
        <x:v>doc20620720260704143045.pdf</x:v>
      </x:c>
      <x:c r="V113" s="14" t="str">
        <x:v>1</x:v>
      </x:c>
      <x:c r="W113" s="14" t="str">
        <x:v>Revisar prazo por destino</x:v>
      </x:c>
      <x:c r="X113"/>
      <x:c r="Y113"/>
      <x:c r="Z113"/>
      <x:c r="AA113"/>
      <x:c r="AB113"/>
      <x:c r="AC113" t="str">
        <x:v>SIM</x:v>
      </x:c>
      <x:c r="AD113" t="str">
        <x:v>L&amp;N</x:v>
      </x:c>
      <x:c r="AE113" s="12" t="str">
        <x:v>PERCENTUAL</x:v>
      </x:c>
      <x:c r="AF113" s="12"/>
      <x:c r="AG113" s="12" t="str">
        <x:v>2.6.44</x:v>
      </x:c>
      <x:c r="AH113" s="12" t="str">
        <x:v>Frete base × percentual; aplicar frete mínimo quando maior. Bloco percentual ativado; controle visual passivo.</x:v>
      </x:c>
      <x:c r="AI113"/>
    </x:row>
    <x:row r="114">
      <x:c r="A114" s="14" t="str">
        <x:v>LN_0113</x:v>
      </x:c>
      <x:c r="B114" s="14" t="str">
        <x:v>LN</x:v>
      </x:c>
      <x:c r="C114" s="14"/>
      <x:c r="D114" s="14"/>
      <x:c r="E114" s="14" t="str">
        <x:v>Marabá</x:v>
      </x:c>
      <x:c r="F114" s="14" t="str">
        <x:v>PA</x:v>
      </x:c>
      <x:c r="G114" s="14" t="str">
        <x:v>Brasil Novo</x:v>
      </x:c>
      <x:c r="H114" s="14" t="str">
        <x:v>PA</x:v>
      </x:c>
      <x:c r="I114" s="14" t="str">
        <x:v>ALT</x:v>
      </x:c>
      <x:c r="J114" s="14"/>
      <x:c r="K114" s="14" t="str">
        <x:v>30%</x:v>
      </x:c>
      <x:c r="L114" s="46" t="n">
        <x:v>100</x:v>
      </x:c>
      <x:c r="M114" s="46"/>
      <x:c r="N114" s="46"/>
      <x:c r="O114" s="14"/>
      <x:c r="P114" s="14" t="str">
        <x:v>D+7/D+8</x:v>
      </x:c>
      <x:c r="Q114" s="14"/>
      <x:c r="R114" s="14" t="str">
        <x:v>ORIGINAL</x:v>
      </x:c>
      <x:c r="S114" s="14" t="str">
        <x:v>NÃO</x:v>
      </x:c>
      <x:c r="T114" s="14" t="str">
        <x:v>REVISAR_OK</x:v>
      </x:c>
      <x:c r="U114" s="14" t="str">
        <x:v>doc20620720260704143045.pdf</x:v>
      </x:c>
      <x:c r="V114" s="14" t="str">
        <x:v>1</x:v>
      </x:c>
      <x:c r="W114" s="14" t="str">
        <x:v>Revisar prazo por destino</x:v>
      </x:c>
      <x:c r="X114"/>
      <x:c r="Y114"/>
      <x:c r="Z114"/>
      <x:c r="AA114"/>
      <x:c r="AB114"/>
      <x:c r="AC114" t="str">
        <x:v>SIM</x:v>
      </x:c>
      <x:c r="AD114" t="str">
        <x:v>L&amp;N</x:v>
      </x:c>
      <x:c r="AE114" s="12" t="str">
        <x:v>PERCENTUAL</x:v>
      </x:c>
      <x:c r="AF114" s="12"/>
      <x:c r="AG114" s="12" t="str">
        <x:v>2.6.44</x:v>
      </x:c>
      <x:c r="AH114" s="12" t="str">
        <x:v>Frete base × percentual; aplicar frete mínimo quando maior. Bloco percentual ativado; controle visual passivo.</x:v>
      </x:c>
      <x:c r="AI114"/>
    </x:row>
    <x:row r="115">
      <x:c r="A115" s="14" t="str">
        <x:v>LN_0114</x:v>
      </x:c>
      <x:c r="B115" s="14" t="str">
        <x:v>LN</x:v>
      </x:c>
      <x:c r="C115" s="14"/>
      <x:c r="D115" s="14"/>
      <x:c r="E115" s="14" t="str">
        <x:v>Marabá</x:v>
      </x:c>
      <x:c r="F115" s="14" t="str">
        <x:v>PA</x:v>
      </x:c>
      <x:c r="G115" s="14" t="str">
        <x:v>Medicilândia</x:v>
      </x:c>
      <x:c r="H115" s="14" t="str">
        <x:v>PA</x:v>
      </x:c>
      <x:c r="I115" s="14" t="str">
        <x:v>ALT</x:v>
      </x:c>
      <x:c r="J115" s="14"/>
      <x:c r="K115" s="14" t="str">
        <x:v>30%</x:v>
      </x:c>
      <x:c r="L115" s="46" t="n">
        <x:v>100</x:v>
      </x:c>
      <x:c r="M115" s="46"/>
      <x:c r="N115" s="46"/>
      <x:c r="O115" s="14"/>
      <x:c r="P115" s="14" t="str">
        <x:v>D+7/D+8</x:v>
      </x:c>
      <x:c r="Q115" s="14"/>
      <x:c r="R115" s="14" t="str">
        <x:v>ORIGINAL</x:v>
      </x:c>
      <x:c r="S115" s="14" t="str">
        <x:v>NÃO</x:v>
      </x:c>
      <x:c r="T115" s="14" t="str">
        <x:v>REVISAR_OK</x:v>
      </x:c>
      <x:c r="U115" s="14" t="str">
        <x:v>doc20620720260704143045.pdf</x:v>
      </x:c>
      <x:c r="V115" s="14" t="str">
        <x:v>1</x:v>
      </x:c>
      <x:c r="W115" s="14" t="str">
        <x:v>Revisar prazo por destino</x:v>
      </x:c>
      <x:c r="X115"/>
      <x:c r="Y115"/>
      <x:c r="Z115"/>
      <x:c r="AA115"/>
      <x:c r="AB115"/>
      <x:c r="AC115" t="str">
        <x:v>SIM</x:v>
      </x:c>
      <x:c r="AD115" t="str">
        <x:v>L&amp;N</x:v>
      </x:c>
      <x:c r="AE115" s="12" t="str">
        <x:v>PERCENTUAL</x:v>
      </x:c>
      <x:c r="AF115" s="12"/>
      <x:c r="AG115" s="12" t="str">
        <x:v>2.6.44</x:v>
      </x:c>
      <x:c r="AH115" s="12" t="str">
        <x:v>Frete base × percentual; aplicar frete mínimo quando maior. Bloco percentual ativado; controle visual passivo.</x:v>
      </x:c>
      <x:c r="AI115"/>
    </x:row>
    <x:row r="116">
      <x:c r="A116" s="14" t="str">
        <x:v>LN_0115</x:v>
      </x:c>
      <x:c r="B116" s="14" t="str">
        <x:v>LN</x:v>
      </x:c>
      <x:c r="C116" s="14"/>
      <x:c r="D116" s="14"/>
      <x:c r="E116" s="14" t="str">
        <x:v>Marabá</x:v>
      </x:c>
      <x:c r="F116" s="14" t="str">
        <x:v>PA</x:v>
      </x:c>
      <x:c r="G116" s="14" t="str">
        <x:v>Pacajá</x:v>
      </x:c>
      <x:c r="H116" s="14" t="str">
        <x:v>PA</x:v>
      </x:c>
      <x:c r="I116" s="14" t="str">
        <x:v>ALT</x:v>
      </x:c>
      <x:c r="J116" s="14"/>
      <x:c r="K116" s="14" t="str">
        <x:v>30%</x:v>
      </x:c>
      <x:c r="L116" s="46" t="n">
        <x:v>100</x:v>
      </x:c>
      <x:c r="M116" s="46"/>
      <x:c r="N116" s="46"/>
      <x:c r="O116" s="14"/>
      <x:c r="P116" s="14" t="str">
        <x:v>D+7/D+8</x:v>
      </x:c>
      <x:c r="Q116" s="14"/>
      <x:c r="R116" s="14" t="str">
        <x:v>ORIGINAL</x:v>
      </x:c>
      <x:c r="S116" s="14" t="str">
        <x:v>NÃO</x:v>
      </x:c>
      <x:c r="T116" s="14" t="str">
        <x:v>REVISAR_OK</x:v>
      </x:c>
      <x:c r="U116" s="14" t="str">
        <x:v>doc20620720260704143045.pdf</x:v>
      </x:c>
      <x:c r="V116" s="14" t="str">
        <x:v>1</x:v>
      </x:c>
      <x:c r="W116" s="14" t="str">
        <x:v>Revisar prazo por destino</x:v>
      </x:c>
      <x:c r="X116"/>
      <x:c r="Y116"/>
      <x:c r="Z116"/>
      <x:c r="AA116"/>
      <x:c r="AB116"/>
      <x:c r="AC116" t="str">
        <x:v>SIM</x:v>
      </x:c>
      <x:c r="AD116" t="str">
        <x:v>L&amp;N</x:v>
      </x:c>
      <x:c r="AE116" s="12" t="str">
        <x:v>PERCENTUAL</x:v>
      </x:c>
      <x:c r="AF116" s="12"/>
      <x:c r="AG116" s="12" t="str">
        <x:v>2.6.44</x:v>
      </x:c>
      <x:c r="AH116" s="12" t="str">
        <x:v>Frete base × percentual; aplicar frete mínimo quando maior. Bloco percentual ativado; controle visual passivo.</x:v>
      </x:c>
      <x:c r="AI116"/>
    </x:row>
    <x:row r="117">
      <x:c r="A117" s="14" t="str">
        <x:v>LN_0116</x:v>
      </x:c>
      <x:c r="B117" s="14" t="str">
        <x:v>LN</x:v>
      </x:c>
      <x:c r="C117" s="14"/>
      <x:c r="D117" s="14"/>
      <x:c r="E117" s="14" t="str">
        <x:v>Marabá</x:v>
      </x:c>
      <x:c r="F117" s="14" t="str">
        <x:v>PA</x:v>
      </x:c>
      <x:c r="G117" s="14" t="str">
        <x:v>Novo Repartimento</x:v>
      </x:c>
      <x:c r="H117" s="14" t="str">
        <x:v>PA</x:v>
      </x:c>
      <x:c r="I117" s="14" t="str">
        <x:v>ALT</x:v>
      </x:c>
      <x:c r="J117" s="14"/>
      <x:c r="K117" s="14" t="str">
        <x:v>30%</x:v>
      </x:c>
      <x:c r="L117" s="46" t="n">
        <x:v>100</x:v>
      </x:c>
      <x:c r="M117" s="46"/>
      <x:c r="N117" s="46"/>
      <x:c r="O117" s="14"/>
      <x:c r="P117" s="14" t="str">
        <x:v>D+7/D+8</x:v>
      </x:c>
      <x:c r="Q117" s="14"/>
      <x:c r="R117" s="14" t="str">
        <x:v>ORIGINAL</x:v>
      </x:c>
      <x:c r="S117" s="14" t="str">
        <x:v>NÃO</x:v>
      </x:c>
      <x:c r="T117" s="14" t="str">
        <x:v>REVISAR_OK</x:v>
      </x:c>
      <x:c r="U117" s="14" t="str">
        <x:v>doc20620720260704143045.pdf</x:v>
      </x:c>
      <x:c r="V117" s="14" t="str">
        <x:v>1</x:v>
      </x:c>
      <x:c r="W117" s="14" t="str">
        <x:v>Revisar prazo por destino</x:v>
      </x:c>
      <x:c r="X117"/>
      <x:c r="Y117"/>
      <x:c r="Z117"/>
      <x:c r="AA117"/>
      <x:c r="AB117"/>
      <x:c r="AC117" t="str">
        <x:v>SIM</x:v>
      </x:c>
      <x:c r="AD117" t="str">
        <x:v>L&amp;N</x:v>
      </x:c>
      <x:c r="AE117" s="12" t="str">
        <x:v>PERCENTUAL</x:v>
      </x:c>
      <x:c r="AF117" s="12"/>
      <x:c r="AG117" s="12" t="str">
        <x:v>2.6.44</x:v>
      </x:c>
      <x:c r="AH117" s="12" t="str">
        <x:v>Frete base × percentual; aplicar frete mínimo quando maior. Bloco percentual ativado; controle visual passivo.</x:v>
      </x:c>
      <x:c r="AI117"/>
    </x:row>
    <x:row r="118">
      <x:c r="A118" s="14" t="str">
        <x:v>LN_0117</x:v>
      </x:c>
      <x:c r="B118" s="14" t="str">
        <x:v>LN</x:v>
      </x:c>
      <x:c r="C118" s="14"/>
      <x:c r="D118" s="14"/>
      <x:c r="E118" s="14" t="str">
        <x:v>Marabá</x:v>
      </x:c>
      <x:c r="F118" s="14" t="str">
        <x:v>PA</x:v>
      </x:c>
      <x:c r="G118" s="14" t="str">
        <x:v>Placas</x:v>
      </x:c>
      <x:c r="H118" s="14" t="str">
        <x:v>PA</x:v>
      </x:c>
      <x:c r="I118" s="14" t="str">
        <x:v>ALT</x:v>
      </x:c>
      <x:c r="J118" s="14"/>
      <x:c r="K118" s="14" t="str">
        <x:v>30%</x:v>
      </x:c>
      <x:c r="L118" s="46" t="n">
        <x:v>100</x:v>
      </x:c>
      <x:c r="M118" s="46"/>
      <x:c r="N118" s="46"/>
      <x:c r="O118" s="14"/>
      <x:c r="P118" s="14" t="str">
        <x:v>D+7/D+8</x:v>
      </x:c>
      <x:c r="Q118" s="14"/>
      <x:c r="R118" s="14" t="str">
        <x:v>ORIGINAL</x:v>
      </x:c>
      <x:c r="S118" s="14" t="str">
        <x:v>NÃO</x:v>
      </x:c>
      <x:c r="T118" s="14" t="str">
        <x:v>REVISAR_OK</x:v>
      </x:c>
      <x:c r="U118" s="14" t="str">
        <x:v>doc20620720260704143045.pdf</x:v>
      </x:c>
      <x:c r="V118" s="14" t="str">
        <x:v>1</x:v>
      </x:c>
      <x:c r="W118" s="14" t="str">
        <x:v>Revisar prazo por destino</x:v>
      </x:c>
      <x:c r="X118"/>
      <x:c r="Y118"/>
      <x:c r="Z118"/>
      <x:c r="AA118"/>
      <x:c r="AB118"/>
      <x:c r="AC118" t="str">
        <x:v>SIM</x:v>
      </x:c>
      <x:c r="AD118" t="str">
        <x:v>L&amp;N</x:v>
      </x:c>
      <x:c r="AE118" s="12" t="str">
        <x:v>PERCENTUAL</x:v>
      </x:c>
      <x:c r="AF118" s="12"/>
      <x:c r="AG118" s="12" t="str">
        <x:v>2.6.44</x:v>
      </x:c>
      <x:c r="AH118" s="12" t="str">
        <x:v>Frete base × percentual; aplicar frete mínimo quando maior. Bloco percentual ativado; controle visual passivo.</x:v>
      </x:c>
      <x:c r="AI118"/>
    </x:row>
    <x:row r="119">
      <x:c r="A119" s="14" t="str">
        <x:v>LN_0118</x:v>
      </x:c>
      <x:c r="B119" s="14" t="str">
        <x:v>LN</x:v>
      </x:c>
      <x:c r="C119" s="14"/>
      <x:c r="D119" s="14"/>
      <x:c r="E119" s="14" t="str">
        <x:v>Marabá</x:v>
      </x:c>
      <x:c r="F119" s="14" t="str">
        <x:v>PA</x:v>
      </x:c>
      <x:c r="G119" s="14" t="str">
        <x:v>Rurópolis</x:v>
      </x:c>
      <x:c r="H119" s="14" t="str">
        <x:v>PA</x:v>
      </x:c>
      <x:c r="I119" s="14" t="str">
        <x:v>ALT</x:v>
      </x:c>
      <x:c r="J119" s="14"/>
      <x:c r="K119" s="14" t="str">
        <x:v>30%</x:v>
      </x:c>
      <x:c r="L119" s="46" t="n">
        <x:v>100</x:v>
      </x:c>
      <x:c r="M119" s="46"/>
      <x:c r="N119" s="46"/>
      <x:c r="O119" s="14"/>
      <x:c r="P119" s="14" t="str">
        <x:v>D+7/D+8</x:v>
      </x:c>
      <x:c r="Q119" s="14"/>
      <x:c r="R119" s="14" t="str">
        <x:v>ORIGINAL</x:v>
      </x:c>
      <x:c r="S119" s="14" t="str">
        <x:v>NÃO</x:v>
      </x:c>
      <x:c r="T119" s="14" t="str">
        <x:v>REVISAR_OK</x:v>
      </x:c>
      <x:c r="U119" s="14" t="str">
        <x:v>doc20620720260704143045.pdf</x:v>
      </x:c>
      <x:c r="V119" s="14" t="str">
        <x:v>1</x:v>
      </x:c>
      <x:c r="W119" s="14" t="str">
        <x:v>Revisar prazo por destino</x:v>
      </x:c>
      <x:c r="X119"/>
      <x:c r="Y119"/>
      <x:c r="Z119"/>
      <x:c r="AA119"/>
      <x:c r="AB119"/>
      <x:c r="AC119" t="str">
        <x:v>SIM</x:v>
      </x:c>
      <x:c r="AD119" t="str">
        <x:v>L&amp;N</x:v>
      </x:c>
      <x:c r="AE119" s="12" t="str">
        <x:v>PERCENTUAL</x:v>
      </x:c>
      <x:c r="AF119" s="12"/>
      <x:c r="AG119" s="12" t="str">
        <x:v>2.6.44</x:v>
      </x:c>
      <x:c r="AH119" s="12" t="str">
        <x:v>Frete base × percentual; aplicar frete mínimo quando maior. Bloco percentual ativado; controle visual passivo.</x:v>
      </x:c>
      <x:c r="AI119"/>
    </x:row>
    <x:row r="120">
      <x:c r="A120" s="14" t="str">
        <x:v>LN_0119</x:v>
      </x:c>
      <x:c r="B120" s="14" t="str">
        <x:v>LN</x:v>
      </x:c>
      <x:c r="C120" s="14"/>
      <x:c r="D120" s="14"/>
      <x:c r="E120" s="14" t="str">
        <x:v>Marabá</x:v>
      </x:c>
      <x:c r="F120" s="14" t="str">
        <x:v>PA</x:v>
      </x:c>
      <x:c r="G120" s="14" t="str">
        <x:v>Uruará</x:v>
      </x:c>
      <x:c r="H120" s="14" t="str">
        <x:v>PA</x:v>
      </x:c>
      <x:c r="I120" s="14" t="str">
        <x:v>ALT</x:v>
      </x:c>
      <x:c r="J120" s="14"/>
      <x:c r="K120" s="14" t="str">
        <x:v>30%</x:v>
      </x:c>
      <x:c r="L120" s="46" t="n">
        <x:v>100</x:v>
      </x:c>
      <x:c r="M120" s="46"/>
      <x:c r="N120" s="46"/>
      <x:c r="O120" s="14"/>
      <x:c r="P120" s="14" t="str">
        <x:v>D+7/D+8</x:v>
      </x:c>
      <x:c r="Q120" s="14"/>
      <x:c r="R120" s="14" t="str">
        <x:v>ORIGINAL</x:v>
      </x:c>
      <x:c r="S120" s="14" t="str">
        <x:v>NÃO</x:v>
      </x:c>
      <x:c r="T120" s="14" t="str">
        <x:v>REVISAR_OK</x:v>
      </x:c>
      <x:c r="U120" s="14" t="str">
        <x:v>doc20620720260704143045.pdf</x:v>
      </x:c>
      <x:c r="V120" s="14" t="str">
        <x:v>1</x:v>
      </x:c>
      <x:c r="W120" s="14" t="str">
        <x:v>Revisar prazo por destino</x:v>
      </x:c>
      <x:c r="X120"/>
      <x:c r="Y120"/>
      <x:c r="Z120"/>
      <x:c r="AA120"/>
      <x:c r="AB120"/>
      <x:c r="AC120" t="str">
        <x:v>SIM</x:v>
      </x:c>
      <x:c r="AD120" t="str">
        <x:v>L&amp;N</x:v>
      </x:c>
      <x:c r="AE120" s="12" t="str">
        <x:v>PERCENTUAL</x:v>
      </x:c>
      <x:c r="AF120" s="12"/>
      <x:c r="AG120" s="12" t="str">
        <x:v>2.6.44</x:v>
      </x:c>
      <x:c r="AH120" s="12" t="str">
        <x:v>Frete base × percentual; aplicar frete mínimo quando maior. Bloco percentual ativado; controle visual passivo.</x:v>
      </x:c>
      <x:c r="AI120"/>
    </x:row>
    <x:row r="121">
      <x:c r="A121" s="14" t="str">
        <x:v>LN_0120</x:v>
      </x:c>
      <x:c r="B121" s="14" t="str">
        <x:v>LN</x:v>
      </x:c>
      <x:c r="C121" s="14"/>
      <x:c r="D121" s="14"/>
      <x:c r="E121" s="14" t="str">
        <x:v>Marabá</x:v>
      </x:c>
      <x:c r="F121" s="14" t="str">
        <x:v>PA</x:v>
      </x:c>
      <x:c r="G121" s="14" t="str">
        <x:v>Vitória do Xingu</x:v>
      </x:c>
      <x:c r="H121" s="14" t="str">
        <x:v>PA</x:v>
      </x:c>
      <x:c r="I121" s="14" t="str">
        <x:v>ALT</x:v>
      </x:c>
      <x:c r="J121" s="14"/>
      <x:c r="K121" s="14" t="str">
        <x:v>30%</x:v>
      </x:c>
      <x:c r="L121" s="46" t="n">
        <x:v>100</x:v>
      </x:c>
      <x:c r="M121" s="46"/>
      <x:c r="N121" s="46"/>
      <x:c r="O121" s="14"/>
      <x:c r="P121" s="14" t="str">
        <x:v>D+7/D+8</x:v>
      </x:c>
      <x:c r="Q121" s="14"/>
      <x:c r="R121" s="14" t="str">
        <x:v>ORIGINAL</x:v>
      </x:c>
      <x:c r="S121" s="14" t="str">
        <x:v>NÃO</x:v>
      </x:c>
      <x:c r="T121" s="14" t="str">
        <x:v>REVISAR_OK</x:v>
      </x:c>
      <x:c r="U121" s="14" t="str">
        <x:v>doc20620720260704143045.pdf</x:v>
      </x:c>
      <x:c r="V121" s="14" t="str">
        <x:v>1</x:v>
      </x:c>
      <x:c r="W121" s="14" t="str">
        <x:v>Revisar prazo por destino</x:v>
      </x:c>
      <x:c r="X121"/>
      <x:c r="Y121"/>
      <x:c r="Z121"/>
      <x:c r="AA121"/>
      <x:c r="AB121"/>
      <x:c r="AC121" t="str">
        <x:v>SIM</x:v>
      </x:c>
      <x:c r="AD121" t="str">
        <x:v>L&amp;N</x:v>
      </x:c>
      <x:c r="AE121" s="12" t="str">
        <x:v>PERCENTUAL</x:v>
      </x:c>
      <x:c r="AF121" s="12"/>
      <x:c r="AG121" s="12" t="str">
        <x:v>2.6.44</x:v>
      </x:c>
      <x:c r="AH121" s="12" t="str">
        <x:v>Frete base × percentual; aplicar frete mínimo quando maior. Bloco percentual ativado; controle visual passivo.</x:v>
      </x:c>
      <x:c r="AI121"/>
    </x:row>
    <x:row r="122">
      <x:c r="A122" s="14" t="str">
        <x:v>LN_0121</x:v>
      </x:c>
      <x:c r="B122" s="14" t="str">
        <x:v>LN</x:v>
      </x:c>
      <x:c r="C122" s="14"/>
      <x:c r="D122" s="14"/>
      <x:c r="E122" s="14" t="str">
        <x:v>Marabá</x:v>
      </x:c>
      <x:c r="F122" s="14" t="str">
        <x:v>PA</x:v>
      </x:c>
      <x:c r="G122" s="14" t="str">
        <x:v>Santarém</x:v>
      </x:c>
      <x:c r="H122" s="14" t="str">
        <x:v>PA</x:v>
      </x:c>
      <x:c r="I122" s="14" t="str">
        <x:v>STM</x:v>
      </x:c>
      <x:c r="J122" s="14"/>
      <x:c r="K122" s="14" t="str">
        <x:v>50%</x:v>
      </x:c>
      <x:c r="L122" s="46" t="n">
        <x:v>180</x:v>
      </x:c>
      <x:c r="M122" s="46"/>
      <x:c r="N122" s="46"/>
      <x:c r="O122" s="14"/>
      <x:c r="P122" s="14" t="str">
        <x:v>D+10</x:v>
      </x:c>
      <x:c r="Q122" s="14"/>
      <x:c r="R122" s="14" t="str">
        <x:v>ORIGINAL</x:v>
      </x:c>
      <x:c r="S122" s="14" t="str">
        <x:v>NÃO</x:v>
      </x:c>
      <x:c r="T122" s="14" t="str">
        <x:v>REVISAR_OK</x:v>
      </x:c>
      <x:c r="U122" s="14" t="str">
        <x:v>doc20620720260704143045.pdf</x:v>
      </x:c>
      <x:c r="V122" s="14" t="str">
        <x:v>1</x:v>
      </x:c>
      <x:c r="W122" s="14"/>
      <x:c r="X122"/>
      <x:c r="Y122"/>
      <x:c r="Z122"/>
      <x:c r="AA122"/>
      <x:c r="AB122"/>
      <x:c r="AC122" t="str">
        <x:v>SIM</x:v>
      </x:c>
      <x:c r="AD122" t="str">
        <x:v>L&amp;N</x:v>
      </x:c>
      <x:c r="AE122" s="12" t="str">
        <x:v>PERCENTUAL</x:v>
      </x:c>
      <x:c r="AF122" s="12"/>
      <x:c r="AG122" s="12" t="str">
        <x:v>2.6.44</x:v>
      </x:c>
      <x:c r="AH122" s="12" t="str">
        <x:v>Frete base × percentual; aplicar frete mínimo quando maior. Bloco percentual ativado; controle visual passivo.</x:v>
      </x:c>
      <x:c r="AI122"/>
    </x:row>
    <x:row r="123">
      <x:c r="A123" s="14" t="str">
        <x:v>GN_NORTE_0122</x:v>
      </x:c>
      <x:c r="B123" s="14" t="str">
        <x:v>GN_NORTE</x:v>
      </x:c>
      <x:c r="C123" s="14"/>
      <x:c r="D123" s="14"/>
      <x:c r="E123" s="14" t="str">
        <x:v>Santarém</x:v>
      </x:c>
      <x:c r="F123" s="14" t="str">
        <x:v>PA</x:v>
      </x:c>
      <x:c r="G123" s="14" t="str">
        <x:v>Santarém</x:v>
      </x:c>
      <x:c r="H123" s="14" t="str">
        <x:v>PA</x:v>
      </x:c>
      <x:c r="I123" s="14" t="str">
        <x:v>POLO</x:v>
      </x:c>
      <x:c r="J123" s="14"/>
      <x:c r="K123" s="14" t="str">
        <x:v>20%</x:v>
      </x:c>
      <x:c r="L123" s="46"/>
      <x:c r="M123" s="46"/>
      <x:c r="N123" s="46"/>
      <x:c r="O123" s="14"/>
      <x:c r="P123" s="14" t="str">
        <x:v>D+2</x:v>
      </x:c>
      <x:c r="Q123" s="14"/>
      <x:c r="R123" s="14" t="str">
        <x:v>ORIGINAL</x:v>
      </x:c>
      <x:c r="S123" s="14" t="str">
        <x:v>NÃO</x:v>
      </x:c>
      <x:c r="T123" s="14" t="str">
        <x:v>REVISAR_OK</x:v>
      </x:c>
      <x:c r="U123" s="14" t="str">
        <x:v>doc20620820260704143103.pdf</x:v>
      </x:c>
      <x:c r="V123" s="14" t="str">
        <x:v>1</x:v>
      </x:c>
      <x:c r="W123" s="14" t="str">
        <x:v>Destino Santarém-PA</x:v>
      </x:c>
      <x:c r="X123"/>
      <x:c r="Y123"/>
      <x:c r="Z123"/>
      <x:c r="AA123"/>
      <x:c r="AB123"/>
      <x:c r="AC123" t="str">
        <x:v>SIM</x:v>
      </x:c>
      <x:c r="AD123" t="str">
        <x:v>GN</x:v>
      </x:c>
      <x:c r="AE123" s="12" t="str">
        <x:v>PERCENTUAL</x:v>
      </x:c>
      <x:c r="AF123" s="12"/>
      <x:c r="AG123" s="12" t="str">
        <x:v>2.6.44</x:v>
      </x:c>
      <x:c r="AH123" s="12" t="str">
        <x:v>Frete base × percentual; aplicar frete mínimo quando maior. Bloco percentual ativado; controle visual passivo.</x:v>
      </x:c>
      <x:c r="AI123"/>
    </x:row>
    <x:row r="124">
      <x:c r="A124" s="14" t="str">
        <x:v>GN_NORTE_0123</x:v>
      </x:c>
      <x:c r="B124" s="14" t="str">
        <x:v>GN_NORTE</x:v>
      </x:c>
      <x:c r="C124" s="14"/>
      <x:c r="D124" s="14"/>
      <x:c r="E124" s="14" t="str">
        <x:v>Santarém</x:v>
      </x:c>
      <x:c r="F124" s="14" t="str">
        <x:v>PA</x:v>
      </x:c>
      <x:c r="G124" s="14" t="str">
        <x:v>Itaituba</x:v>
      </x:c>
      <x:c r="H124" s="14" t="str">
        <x:v>PA</x:v>
      </x:c>
      <x:c r="I124" s="14" t="str">
        <x:v>REGIÃO</x:v>
      </x:c>
      <x:c r="J124" s="14"/>
      <x:c r="K124" s="14" t="str">
        <x:v>35%</x:v>
      </x:c>
      <x:c r="L124" s="46"/>
      <x:c r="M124" s="46"/>
      <x:c r="N124" s="46"/>
      <x:c r="O124" s="14"/>
      <x:c r="P124" s="14" t="str">
        <x:v>D+4</x:v>
      </x:c>
      <x:c r="Q124" s="14"/>
      <x:c r="R124" s="14" t="str">
        <x:v>ORIGINAL</x:v>
      </x:c>
      <x:c r="S124" s="14" t="str">
        <x:v>NÃO</x:v>
      </x:c>
      <x:c r="T124" s="14" t="str">
        <x:v>REVISAR_OK</x:v>
      </x:c>
      <x:c r="U124" s="14" t="str">
        <x:v>doc20620820260704143103.pdf</x:v>
      </x:c>
      <x:c r="V124" s="14" t="str">
        <x:v>1</x:v>
      </x:c>
      <x:c r="W124" s="14" t="str">
        <x:v>Grupo REGIÃO; prazo pode variar conforme linha da proposta</x:v>
      </x:c>
      <x:c r="X124"/>
      <x:c r="Y124"/>
      <x:c r="Z124"/>
      <x:c r="AA124"/>
      <x:c r="AB124"/>
      <x:c r="AC124" t="str">
        <x:v>SIM</x:v>
      </x:c>
      <x:c r="AD124" t="str">
        <x:v>GN</x:v>
      </x:c>
      <x:c r="AE124" s="12" t="str">
        <x:v>PERCENTUAL</x:v>
      </x:c>
      <x:c r="AF124" s="12"/>
      <x:c r="AG124" s="12" t="str">
        <x:v>2.6.44</x:v>
      </x:c>
      <x:c r="AH124" s="12" t="str">
        <x:v>Frete base × percentual; aplicar frete mínimo quando maior. Bloco percentual ativado; controle visual passivo.</x:v>
      </x:c>
      <x:c r="AI124"/>
    </x:row>
    <x:row r="125">
      <x:c r="A125" s="14" t="str">
        <x:v>GN_NORTE_0124</x:v>
      </x:c>
      <x:c r="B125" s="14" t="str">
        <x:v>GN_NORTE</x:v>
      </x:c>
      <x:c r="C125" s="14"/>
      <x:c r="D125" s="14"/>
      <x:c r="E125" s="14" t="str">
        <x:v>Santarém</x:v>
      </x:c>
      <x:c r="F125" s="14" t="str">
        <x:v>PA</x:v>
      </x:c>
      <x:c r="G125" s="14" t="str">
        <x:v>Cachoeira da Serra</x:v>
      </x:c>
      <x:c r="H125" s="14" t="str">
        <x:v>PA</x:v>
      </x:c>
      <x:c r="I125" s="14" t="str">
        <x:v>REGIÃO</x:v>
      </x:c>
      <x:c r="J125" s="14"/>
      <x:c r="K125" s="14" t="str">
        <x:v>35%</x:v>
      </x:c>
      <x:c r="L125" s="46"/>
      <x:c r="M125" s="46"/>
      <x:c r="N125" s="46"/>
      <x:c r="O125" s="14"/>
      <x:c r="P125" s="14" t="str">
        <x:v>D+4</x:v>
      </x:c>
      <x:c r="Q125" s="14"/>
      <x:c r="R125" s="14" t="str">
        <x:v>ORIGINAL</x:v>
      </x:c>
      <x:c r="S125" s="14" t="str">
        <x:v>NÃO</x:v>
      </x:c>
      <x:c r="T125" s="14" t="str">
        <x:v>REVISAR_OK</x:v>
      </x:c>
      <x:c r="U125" s="14" t="str">
        <x:v>doc20620820260704143103.pdf</x:v>
      </x:c>
      <x:c r="V125" s="14" t="str">
        <x:v>1</x:v>
      </x:c>
      <x:c r="W125" s="14" t="str">
        <x:v>Grupo REGIÃO; prazo pode variar conforme linha da proposta</x:v>
      </x:c>
      <x:c r="X125"/>
      <x:c r="Y125"/>
      <x:c r="Z125"/>
      <x:c r="AA125"/>
      <x:c r="AB125"/>
      <x:c r="AC125" t="str">
        <x:v>SIM</x:v>
      </x:c>
      <x:c r="AD125" t="str">
        <x:v>GN</x:v>
      </x:c>
      <x:c r="AE125" s="12" t="str">
        <x:v>PERCENTUAL</x:v>
      </x:c>
      <x:c r="AF125" s="12"/>
      <x:c r="AG125" s="12" t="str">
        <x:v>2.6.44</x:v>
      </x:c>
      <x:c r="AH125" s="12" t="str">
        <x:v>Frete base × percentual; aplicar frete mínimo quando maior. Bloco percentual ativado; controle visual passivo.</x:v>
      </x:c>
      <x:c r="AI125"/>
    </x:row>
    <x:row r="126">
      <x:c r="A126" s="14" t="str">
        <x:v>GN_NORTE_0125</x:v>
      </x:c>
      <x:c r="B126" s="14" t="str">
        <x:v>GN_NORTE</x:v>
      </x:c>
      <x:c r="C126" s="14"/>
      <x:c r="D126" s="14"/>
      <x:c r="E126" s="14" t="str">
        <x:v>Santarém</x:v>
      </x:c>
      <x:c r="F126" s="14" t="str">
        <x:v>PA</x:v>
      </x:c>
      <x:c r="G126" s="14" t="str">
        <x:v>Castelo dos Sonhos</x:v>
      </x:c>
      <x:c r="H126" s="14" t="str">
        <x:v>PA</x:v>
      </x:c>
      <x:c r="I126" s="14" t="str">
        <x:v>REGIÃO</x:v>
      </x:c>
      <x:c r="J126" s="14"/>
      <x:c r="K126" s="14" t="str">
        <x:v>35%</x:v>
      </x:c>
      <x:c r="L126" s="46"/>
      <x:c r="M126" s="46"/>
      <x:c r="N126" s="46"/>
      <x:c r="O126" s="14"/>
      <x:c r="P126" s="14" t="str">
        <x:v>D+4</x:v>
      </x:c>
      <x:c r="Q126" s="14"/>
      <x:c r="R126" s="14" t="str">
        <x:v>ORIGINAL</x:v>
      </x:c>
      <x:c r="S126" s="14" t="str">
        <x:v>NÃO</x:v>
      </x:c>
      <x:c r="T126" s="14" t="str">
        <x:v>REVISAR_OK</x:v>
      </x:c>
      <x:c r="U126" s="14" t="str">
        <x:v>doc20620820260704143103.pdf</x:v>
      </x:c>
      <x:c r="V126" s="14" t="str">
        <x:v>1</x:v>
      </x:c>
      <x:c r="W126" s="14" t="str">
        <x:v>Grupo REGIÃO; prazo pode variar conforme linha da proposta</x:v>
      </x:c>
      <x:c r="X126"/>
      <x:c r="Y126"/>
      <x:c r="Z126"/>
      <x:c r="AA126"/>
      <x:c r="AB126"/>
      <x:c r="AC126" t="str">
        <x:v>SIM</x:v>
      </x:c>
      <x:c r="AD126" t="str">
        <x:v>GN</x:v>
      </x:c>
      <x:c r="AE126" s="12" t="str">
        <x:v>PERCENTUAL</x:v>
      </x:c>
      <x:c r="AF126" s="12"/>
      <x:c r="AG126" s="12" t="str">
        <x:v>2.6.44</x:v>
      </x:c>
      <x:c r="AH126" s="12" t="str">
        <x:v>Frete base × percentual; aplicar frete mínimo quando maior. Bloco percentual ativado; controle visual passivo.</x:v>
      </x:c>
      <x:c r="AI126"/>
    </x:row>
    <x:row r="127">
      <x:c r="A127" s="14" t="str">
        <x:v>GN_NORTE_0126</x:v>
      </x:c>
      <x:c r="B127" s="14" t="str">
        <x:v>GN_NORTE</x:v>
      </x:c>
      <x:c r="C127" s="14"/>
      <x:c r="D127" s="14"/>
      <x:c r="E127" s="14" t="str">
        <x:v>Santarém</x:v>
      </x:c>
      <x:c r="F127" s="14" t="str">
        <x:v>PA</x:v>
      </x:c>
      <x:c r="G127" s="14" t="str">
        <x:v>Novo Progresso</x:v>
      </x:c>
      <x:c r="H127" s="14" t="str">
        <x:v>PA</x:v>
      </x:c>
      <x:c r="I127" s="14" t="str">
        <x:v>REGIÃO</x:v>
      </x:c>
      <x:c r="J127" s="14"/>
      <x:c r="K127" s="14" t="str">
        <x:v>35%</x:v>
      </x:c>
      <x:c r="L127" s="46"/>
      <x:c r="M127" s="46"/>
      <x:c r="N127" s="46"/>
      <x:c r="O127" s="14"/>
      <x:c r="P127" s="14" t="str">
        <x:v>D+4</x:v>
      </x:c>
      <x:c r="Q127" s="14"/>
      <x:c r="R127" s="14" t="str">
        <x:v>ORIGINAL</x:v>
      </x:c>
      <x:c r="S127" s="14" t="str">
        <x:v>NÃO</x:v>
      </x:c>
      <x:c r="T127" s="14" t="str">
        <x:v>REVISAR_OK</x:v>
      </x:c>
      <x:c r="U127" s="14" t="str">
        <x:v>doc20620820260704143103.pdf</x:v>
      </x:c>
      <x:c r="V127" s="14" t="str">
        <x:v>1</x:v>
      </x:c>
      <x:c r="W127" s="14" t="str">
        <x:v>Grupo REGIÃO; prazo pode variar conforme linha da proposta</x:v>
      </x:c>
      <x:c r="X127"/>
      <x:c r="Y127"/>
      <x:c r="Z127"/>
      <x:c r="AA127"/>
      <x:c r="AB127"/>
      <x:c r="AC127" t="str">
        <x:v>SIM</x:v>
      </x:c>
      <x:c r="AD127" t="str">
        <x:v>GN</x:v>
      </x:c>
      <x:c r="AE127" s="12" t="str">
        <x:v>PERCENTUAL</x:v>
      </x:c>
      <x:c r="AF127" s="12"/>
      <x:c r="AG127" s="12" t="str">
        <x:v>2.6.44</x:v>
      </x:c>
      <x:c r="AH127" s="12" t="str">
        <x:v>Frete base × percentual; aplicar frete mínimo quando maior. Bloco percentual ativado; controle visual passivo.</x:v>
      </x:c>
      <x:c r="AI127"/>
    </x:row>
    <x:row r="128">
      <x:c r="A128" s="14" t="str">
        <x:v>GN_NORTE_0127</x:v>
      </x:c>
      <x:c r="B128" s="14" t="str">
        <x:v>GN_NORTE</x:v>
      </x:c>
      <x:c r="C128" s="14"/>
      <x:c r="D128" s="14"/>
      <x:c r="E128" s="14" t="str">
        <x:v>Santarém</x:v>
      </x:c>
      <x:c r="F128" s="14" t="str">
        <x:v>PA</x:v>
      </x:c>
      <x:c r="G128" s="14" t="str">
        <x:v>Trairão</x:v>
      </x:c>
      <x:c r="H128" s="14" t="str">
        <x:v>PA</x:v>
      </x:c>
      <x:c r="I128" s="14" t="str">
        <x:v>REGIÃO</x:v>
      </x:c>
      <x:c r="J128" s="14"/>
      <x:c r="K128" s="14" t="str">
        <x:v>35%</x:v>
      </x:c>
      <x:c r="L128" s="46"/>
      <x:c r="M128" s="46"/>
      <x:c r="N128" s="46"/>
      <x:c r="O128" s="14"/>
      <x:c r="P128" s="14" t="str">
        <x:v>D+4</x:v>
      </x:c>
      <x:c r="Q128" s="14"/>
      <x:c r="R128" s="14" t="str">
        <x:v>ORIGINAL</x:v>
      </x:c>
      <x:c r="S128" s="14" t="str">
        <x:v>NÃO</x:v>
      </x:c>
      <x:c r="T128" s="14" t="str">
        <x:v>REVISAR_OK</x:v>
      </x:c>
      <x:c r="U128" s="14" t="str">
        <x:v>doc20620820260704143103.pdf</x:v>
      </x:c>
      <x:c r="V128" s="14" t="str">
        <x:v>1</x:v>
      </x:c>
      <x:c r="W128" s="14" t="str">
        <x:v>Grupo REGIÃO; prazo pode variar conforme linha da proposta</x:v>
      </x:c>
      <x:c r="X128"/>
      <x:c r="Y128"/>
      <x:c r="Z128"/>
      <x:c r="AA128"/>
      <x:c r="AB128"/>
      <x:c r="AC128" t="str">
        <x:v>SIM</x:v>
      </x:c>
      <x:c r="AD128" t="str">
        <x:v>GN</x:v>
      </x:c>
      <x:c r="AE128" s="12" t="str">
        <x:v>PERCENTUAL</x:v>
      </x:c>
      <x:c r="AF128" s="12"/>
      <x:c r="AG128" s="12" t="str">
        <x:v>2.6.44</x:v>
      </x:c>
      <x:c r="AH128" s="12" t="str">
        <x:v>Frete base × percentual; aplicar frete mínimo quando maior. Bloco percentual ativado; controle visual passivo.</x:v>
      </x:c>
      <x:c r="AI128"/>
    </x:row>
    <x:row r="129">
      <x:c r="A129" s="14" t="str">
        <x:v>GN_NORTE_0128</x:v>
      </x:c>
      <x:c r="B129" s="14" t="str">
        <x:v>GN_NORTE</x:v>
      </x:c>
      <x:c r="C129" s="14"/>
      <x:c r="D129" s="14"/>
      <x:c r="E129" s="14" t="str">
        <x:v>Santarém</x:v>
      </x:c>
      <x:c r="F129" s="14" t="str">
        <x:v>PA</x:v>
      </x:c>
      <x:c r="G129" s="14" t="str">
        <x:v>Rurópolis</x:v>
      </x:c>
      <x:c r="H129" s="14" t="str">
        <x:v>PA</x:v>
      </x:c>
      <x:c r="I129" s="14" t="str">
        <x:v>REGIÃO</x:v>
      </x:c>
      <x:c r="J129" s="14"/>
      <x:c r="K129" s="14" t="str">
        <x:v>35%</x:v>
      </x:c>
      <x:c r="L129" s="46"/>
      <x:c r="M129" s="46"/>
      <x:c r="N129" s="46"/>
      <x:c r="O129" s="14"/>
      <x:c r="P129" s="14" t="str">
        <x:v>D+4</x:v>
      </x:c>
      <x:c r="Q129" s="14"/>
      <x:c r="R129" s="14" t="str">
        <x:v>ORIGINAL</x:v>
      </x:c>
      <x:c r="S129" s="14" t="str">
        <x:v>NÃO</x:v>
      </x:c>
      <x:c r="T129" s="14" t="str">
        <x:v>REVISAR_OK</x:v>
      </x:c>
      <x:c r="U129" s="14" t="str">
        <x:v>doc20620820260704143103.pdf</x:v>
      </x:c>
      <x:c r="V129" s="14" t="str">
        <x:v>1</x:v>
      </x:c>
      <x:c r="W129" s="14" t="str">
        <x:v>Grupo REGIÃO; prazo pode variar conforme linha da proposta</x:v>
      </x:c>
      <x:c r="X129"/>
      <x:c r="Y129"/>
      <x:c r="Z129"/>
      <x:c r="AA129"/>
      <x:c r="AB129"/>
      <x:c r="AC129" t="str">
        <x:v>SIM</x:v>
      </x:c>
      <x:c r="AD129" t="str">
        <x:v>GN</x:v>
      </x:c>
      <x:c r="AE129" s="12" t="str">
        <x:v>PERCENTUAL</x:v>
      </x:c>
      <x:c r="AF129" s="12"/>
      <x:c r="AG129" s="12" t="str">
        <x:v>2.6.44</x:v>
      </x:c>
      <x:c r="AH129" s="12" t="str">
        <x:v>Frete base × percentual; aplicar frete mínimo quando maior. Bloco percentual ativado; controle visual passivo.</x:v>
      </x:c>
      <x:c r="AI129"/>
    </x:row>
    <x:row r="130">
      <x:c r="A130" s="14" t="str">
        <x:v>GN_NORTE_0129</x:v>
      </x:c>
      <x:c r="B130" s="14" t="str">
        <x:v>GN_NORTE</x:v>
      </x:c>
      <x:c r="C130" s="14"/>
      <x:c r="D130" s="14"/>
      <x:c r="E130" s="14" t="str">
        <x:v>Santarém</x:v>
      </x:c>
      <x:c r="F130" s="14" t="str">
        <x:v>PA</x:v>
      </x:c>
      <x:c r="G130" s="14" t="str">
        <x:v>Mojuí dos Campos</x:v>
      </x:c>
      <x:c r="H130" s="14" t="str">
        <x:v>PA</x:v>
      </x:c>
      <x:c r="I130" s="14" t="str">
        <x:v>REGIÃO</x:v>
      </x:c>
      <x:c r="J130" s="14"/>
      <x:c r="K130" s="14" t="str">
        <x:v>35%</x:v>
      </x:c>
      <x:c r="L130" s="46"/>
      <x:c r="M130" s="46"/>
      <x:c r="N130" s="46"/>
      <x:c r="O130" s="14"/>
      <x:c r="P130" s="14" t="str">
        <x:v>D+4</x:v>
      </x:c>
      <x:c r="Q130" s="14"/>
      <x:c r="R130" s="14" t="str">
        <x:v>ORIGINAL</x:v>
      </x:c>
      <x:c r="S130" s="14" t="str">
        <x:v>NÃO</x:v>
      </x:c>
      <x:c r="T130" s="14" t="str">
        <x:v>REVISAR_OK</x:v>
      </x:c>
      <x:c r="U130" s="14" t="str">
        <x:v>doc20620820260704143103.pdf</x:v>
      </x:c>
      <x:c r="V130" s="14" t="str">
        <x:v>1</x:v>
      </x:c>
      <x:c r="W130" s="14" t="str">
        <x:v>Grupo REGIÃO; prazo pode variar conforme linha da proposta</x:v>
      </x:c>
      <x:c r="X130"/>
      <x:c r="Y130"/>
      <x:c r="Z130"/>
      <x:c r="AA130"/>
      <x:c r="AB130"/>
      <x:c r="AC130" t="str">
        <x:v>SIM</x:v>
      </x:c>
      <x:c r="AD130" t="str">
        <x:v>GN</x:v>
      </x:c>
      <x:c r="AE130" s="12" t="str">
        <x:v>PERCENTUAL</x:v>
      </x:c>
      <x:c r="AF130" s="12"/>
      <x:c r="AG130" s="12" t="str">
        <x:v>2.6.44</x:v>
      </x:c>
      <x:c r="AH130" s="12" t="str">
        <x:v>Frete base × percentual; aplicar frete mínimo quando maior. Bloco percentual ativado; controle visual passivo.</x:v>
      </x:c>
      <x:c r="AI130"/>
    </x:row>
    <x:row r="131">
      <x:c r="A131" s="14" t="str">
        <x:v>GN_NORTE_0130</x:v>
      </x:c>
      <x:c r="B131" s="14" t="str">
        <x:v>GN_NORTE</x:v>
      </x:c>
      <x:c r="C131" s="14"/>
      <x:c r="D131" s="14"/>
      <x:c r="E131" s="14" t="str">
        <x:v>Santarém</x:v>
      </x:c>
      <x:c r="F131" s="14" t="str">
        <x:v>PA</x:v>
      </x:c>
      <x:c r="G131" s="14" t="str">
        <x:v>Alenquer</x:v>
      </x:c>
      <x:c r="H131" s="14" t="str">
        <x:v>PA</x:v>
      </x:c>
      <x:c r="I131" s="14" t="str">
        <x:v>REGIÃO</x:v>
      </x:c>
      <x:c r="J131" s="14"/>
      <x:c r="K131" s="14" t="str">
        <x:v>35%</x:v>
      </x:c>
      <x:c r="L131" s="46"/>
      <x:c r="M131" s="46"/>
      <x:c r="N131" s="46"/>
      <x:c r="O131" s="14"/>
      <x:c r="P131" s="14" t="str">
        <x:v>D+4</x:v>
      </x:c>
      <x:c r="Q131" s="14"/>
      <x:c r="R131" s="14" t="str">
        <x:v>ORIGINAL</x:v>
      </x:c>
      <x:c r="S131" s="14" t="str">
        <x:v>NÃO</x:v>
      </x:c>
      <x:c r="T131" s="14" t="str">
        <x:v>REVISAR_OK</x:v>
      </x:c>
      <x:c r="U131" s="14" t="str">
        <x:v>doc20620820260704143103.pdf</x:v>
      </x:c>
      <x:c r="V131" s="14" t="str">
        <x:v>1</x:v>
      </x:c>
      <x:c r="W131" s="14" t="str">
        <x:v>Grupo REGIÃO; prazo pode variar conforme linha da proposta</x:v>
      </x:c>
      <x:c r="X131"/>
      <x:c r="Y131"/>
      <x:c r="Z131"/>
      <x:c r="AA131"/>
      <x:c r="AB131"/>
      <x:c r="AC131" t="str">
        <x:v>SIM</x:v>
      </x:c>
      <x:c r="AD131" t="str">
        <x:v>GN</x:v>
      </x:c>
      <x:c r="AE131" s="12" t="str">
        <x:v>PERCENTUAL</x:v>
      </x:c>
      <x:c r="AF131" s="12"/>
      <x:c r="AG131" s="12" t="str">
        <x:v>2.6.44</x:v>
      </x:c>
      <x:c r="AH131" s="12" t="str">
        <x:v>Frete base × percentual; aplicar frete mínimo quando maior. Bloco percentual ativado; controle visual passivo.</x:v>
      </x:c>
      <x:c r="AI131"/>
    </x:row>
    <x:row r="132">
      <x:c r="A132" s="14" t="str">
        <x:v>GN_NORTE_0131</x:v>
      </x:c>
      <x:c r="B132" s="14" t="str">
        <x:v>GN_NORTE</x:v>
      </x:c>
      <x:c r="C132" s="14"/>
      <x:c r="D132" s="14"/>
      <x:c r="E132" s="14" t="str">
        <x:v>Santarém</x:v>
      </x:c>
      <x:c r="F132" s="14" t="str">
        <x:v>PA</x:v>
      </x:c>
      <x:c r="G132" s="14" t="str">
        <x:v>Óbidos</x:v>
      </x:c>
      <x:c r="H132" s="14" t="str">
        <x:v>PA</x:v>
      </x:c>
      <x:c r="I132" s="14" t="str">
        <x:v>REGIÃO</x:v>
      </x:c>
      <x:c r="J132" s="14"/>
      <x:c r="K132" s="14" t="str">
        <x:v>35%</x:v>
      </x:c>
      <x:c r="L132" s="46"/>
      <x:c r="M132" s="46"/>
      <x:c r="N132" s="46"/>
      <x:c r="O132" s="14"/>
      <x:c r="P132" s="14" t="str">
        <x:v>D+4</x:v>
      </x:c>
      <x:c r="Q132" s="14"/>
      <x:c r="R132" s="14" t="str">
        <x:v>ORIGINAL</x:v>
      </x:c>
      <x:c r="S132" s="14" t="str">
        <x:v>NÃO</x:v>
      </x:c>
      <x:c r="T132" s="14" t="str">
        <x:v>REVISAR_OK</x:v>
      </x:c>
      <x:c r="U132" s="14" t="str">
        <x:v>doc20620820260704143103.pdf</x:v>
      </x:c>
      <x:c r="V132" s="14" t="str">
        <x:v>1</x:v>
      </x:c>
      <x:c r="W132" s="14" t="str">
        <x:v>Grupo REGIÃO; prazo pode variar conforme linha da proposta</x:v>
      </x:c>
      <x:c r="X132"/>
      <x:c r="Y132"/>
      <x:c r="Z132"/>
      <x:c r="AA132"/>
      <x:c r="AB132"/>
      <x:c r="AC132" t="str">
        <x:v>SIM</x:v>
      </x:c>
      <x:c r="AD132" t="str">
        <x:v>GN</x:v>
      </x:c>
      <x:c r="AE132" s="12" t="str">
        <x:v>PERCENTUAL</x:v>
      </x:c>
      <x:c r="AF132" s="12"/>
      <x:c r="AG132" s="12" t="str">
        <x:v>2.6.44</x:v>
      </x:c>
      <x:c r="AH132" s="12" t="str">
        <x:v>Frete base × percentual; aplicar frete mínimo quando maior. Bloco percentual ativado; controle visual passivo.</x:v>
      </x:c>
      <x:c r="AI132"/>
    </x:row>
    <x:row r="133">
      <x:c r="A133" s="14" t="str">
        <x:v>GN_NORTE_0132</x:v>
      </x:c>
      <x:c r="B133" s="14" t="str">
        <x:v>GN_NORTE</x:v>
      </x:c>
      <x:c r="C133" s="14"/>
      <x:c r="D133" s="14"/>
      <x:c r="E133" s="14" t="str">
        <x:v>Santarém</x:v>
      </x:c>
      <x:c r="F133" s="14" t="str">
        <x:v>PA</x:v>
      </x:c>
      <x:c r="G133" s="14" t="str">
        <x:v>Juruti</x:v>
      </x:c>
      <x:c r="H133" s="14" t="str">
        <x:v>PA</x:v>
      </x:c>
      <x:c r="I133" s="14" t="str">
        <x:v>REGIÃO</x:v>
      </x:c>
      <x:c r="J133" s="14"/>
      <x:c r="K133" s="14" t="str">
        <x:v>35%</x:v>
      </x:c>
      <x:c r="L133" s="46"/>
      <x:c r="M133" s="46"/>
      <x:c r="N133" s="46"/>
      <x:c r="O133" s="14"/>
      <x:c r="P133" s="14" t="str">
        <x:v>D+4</x:v>
      </x:c>
      <x:c r="Q133" s="14"/>
      <x:c r="R133" s="14" t="str">
        <x:v>ORIGINAL</x:v>
      </x:c>
      <x:c r="S133" s="14" t="str">
        <x:v>NÃO</x:v>
      </x:c>
      <x:c r="T133" s="14" t="str">
        <x:v>REVISAR_OK</x:v>
      </x:c>
      <x:c r="U133" s="14" t="str">
        <x:v>doc20620820260704143103.pdf</x:v>
      </x:c>
      <x:c r="V133" s="14" t="str">
        <x:v>1</x:v>
      </x:c>
      <x:c r="W133" s="14" t="str">
        <x:v>Grupo REGIÃO; prazo pode variar conforme linha da proposta</x:v>
      </x:c>
      <x:c r="X133"/>
      <x:c r="Y133"/>
      <x:c r="Z133"/>
      <x:c r="AA133"/>
      <x:c r="AB133"/>
      <x:c r="AC133" t="str">
        <x:v>SIM</x:v>
      </x:c>
      <x:c r="AD133" t="str">
        <x:v>GN</x:v>
      </x:c>
      <x:c r="AE133" s="12" t="str">
        <x:v>PERCENTUAL</x:v>
      </x:c>
      <x:c r="AF133" s="12"/>
      <x:c r="AG133" s="12" t="str">
        <x:v>2.6.44</x:v>
      </x:c>
      <x:c r="AH133" s="12" t="str">
        <x:v>Frete base × percentual; aplicar frete mínimo quando maior. Bloco percentual ativado; controle visual passivo.</x:v>
      </x:c>
      <x:c r="AI133"/>
    </x:row>
    <x:row r="134">
      <x:c r="A134" s="14" t="str">
        <x:v>GN_NORTE_0133</x:v>
      </x:c>
      <x:c r="B134" s="14" t="str">
        <x:v>GN_NORTE</x:v>
      </x:c>
      <x:c r="C134" s="14"/>
      <x:c r="D134" s="14"/>
      <x:c r="E134" s="14" t="str">
        <x:v>Santarém</x:v>
      </x:c>
      <x:c r="F134" s="14" t="str">
        <x:v>PA</x:v>
      </x:c>
      <x:c r="G134" s="14" t="str">
        <x:v>Oriximiná</x:v>
      </x:c>
      <x:c r="H134" s="14" t="str">
        <x:v>PA</x:v>
      </x:c>
      <x:c r="I134" s="14" t="str">
        <x:v>REGIÃO</x:v>
      </x:c>
      <x:c r="J134" s="14"/>
      <x:c r="K134" s="14" t="str">
        <x:v>35%</x:v>
      </x:c>
      <x:c r="L134" s="46"/>
      <x:c r="M134" s="46"/>
      <x:c r="N134" s="46"/>
      <x:c r="O134" s="14"/>
      <x:c r="P134" s="14" t="str">
        <x:v>D+4</x:v>
      </x:c>
      <x:c r="Q134" s="14"/>
      <x:c r="R134" s="14" t="str">
        <x:v>ORIGINAL</x:v>
      </x:c>
      <x:c r="S134" s="14" t="str">
        <x:v>NÃO</x:v>
      </x:c>
      <x:c r="T134" s="14" t="str">
        <x:v>REVISAR_OK</x:v>
      </x:c>
      <x:c r="U134" s="14" t="str">
        <x:v>doc20620820260704143103.pdf</x:v>
      </x:c>
      <x:c r="V134" s="14" t="str">
        <x:v>1</x:v>
      </x:c>
      <x:c r="W134" s="14" t="str">
        <x:v>Grupo REGIÃO; prazo pode variar conforme linha da proposta</x:v>
      </x:c>
      <x:c r="X134"/>
      <x:c r="Y134"/>
      <x:c r="Z134"/>
      <x:c r="AA134"/>
      <x:c r="AB134"/>
      <x:c r="AC134" t="str">
        <x:v>SIM</x:v>
      </x:c>
      <x:c r="AD134" t="str">
        <x:v>GN</x:v>
      </x:c>
      <x:c r="AE134" s="12" t="str">
        <x:v>PERCENTUAL</x:v>
      </x:c>
      <x:c r="AF134" s="12"/>
      <x:c r="AG134" s="12" t="str">
        <x:v>2.6.44</x:v>
      </x:c>
      <x:c r="AH134" s="12" t="str">
        <x:v>Frete base × percentual; aplicar frete mínimo quando maior. Bloco percentual ativado; controle visual passivo.</x:v>
      </x:c>
      <x:c r="AI134"/>
    </x:row>
    <x:row r="135">
      <x:c r="A135" s="14" t="str">
        <x:v>GN_NORTE_0134</x:v>
      </x:c>
      <x:c r="B135" s="14" t="str">
        <x:v>GN_NORTE</x:v>
      </x:c>
      <x:c r="C135" s="14"/>
      <x:c r="D135" s="14"/>
      <x:c r="E135" s="14" t="str">
        <x:v>Santarém</x:v>
      </x:c>
      <x:c r="F135" s="14" t="str">
        <x:v>PA</x:v>
      </x:c>
      <x:c r="G135" s="14" t="str">
        <x:v>Altamira</x:v>
      </x:c>
      <x:c r="H135" s="14" t="str">
        <x:v>PA</x:v>
      </x:c>
      <x:c r="I135" s="14" t="str">
        <x:v>REGIÃO</x:v>
      </x:c>
      <x:c r="J135" s="14"/>
      <x:c r="K135" s="14" t="str">
        <x:v>35%</x:v>
      </x:c>
      <x:c r="L135" s="46"/>
      <x:c r="M135" s="46"/>
      <x:c r="N135" s="46"/>
      <x:c r="O135" s="14"/>
      <x:c r="P135" s="14" t="str">
        <x:v>D+4</x:v>
      </x:c>
      <x:c r="Q135" s="14"/>
      <x:c r="R135" s="14" t="str">
        <x:v>ORIGINAL</x:v>
      </x:c>
      <x:c r="S135" s="14" t="str">
        <x:v>NÃO</x:v>
      </x:c>
      <x:c r="T135" s="14" t="str">
        <x:v>REVISAR_OK</x:v>
      </x:c>
      <x:c r="U135" s="14" t="str">
        <x:v>doc20620820260704143103.pdf</x:v>
      </x:c>
      <x:c r="V135" s="14" t="str">
        <x:v>1</x:v>
      </x:c>
      <x:c r="W135" s="14" t="str">
        <x:v>Grupo REGIÃO; prazo pode variar conforme linha da proposta</x:v>
      </x:c>
      <x:c r="X135"/>
      <x:c r="Y135"/>
      <x:c r="Z135"/>
      <x:c r="AA135"/>
      <x:c r="AB135"/>
      <x:c r="AC135" t="str">
        <x:v>SIM</x:v>
      </x:c>
      <x:c r="AD135" t="str">
        <x:v>GN</x:v>
      </x:c>
      <x:c r="AE135" s="12" t="str">
        <x:v>PERCENTUAL</x:v>
      </x:c>
      <x:c r="AF135" s="12"/>
      <x:c r="AG135" s="12" t="str">
        <x:v>2.6.44</x:v>
      </x:c>
      <x:c r="AH135" s="12" t="str">
        <x:v>Frete base × percentual; aplicar frete mínimo quando maior. Bloco percentual ativado; controle visual passivo.</x:v>
      </x:c>
      <x:c r="AI135"/>
    </x:row>
    <x:row r="136">
      <x:c r="A136" s="14" t="str">
        <x:v>GN_NORTE_0135</x:v>
      </x:c>
      <x:c r="B136" s="14" t="str">
        <x:v>GN_NORTE</x:v>
      </x:c>
      <x:c r="C136" s="14"/>
      <x:c r="D136" s="14"/>
      <x:c r="E136" s="14" t="str">
        <x:v>Santarém</x:v>
      </x:c>
      <x:c r="F136" s="14" t="str">
        <x:v>PA</x:v>
      </x:c>
      <x:c r="G136" s="14" t="str">
        <x:v>Medicilândia</x:v>
      </x:c>
      <x:c r="H136" s="14" t="str">
        <x:v>PA</x:v>
      </x:c>
      <x:c r="I136" s="14" t="str">
        <x:v>REGIÃO</x:v>
      </x:c>
      <x:c r="J136" s="14"/>
      <x:c r="K136" s="14" t="str">
        <x:v>35%</x:v>
      </x:c>
      <x:c r="L136" s="46"/>
      <x:c r="M136" s="46"/>
      <x:c r="N136" s="46"/>
      <x:c r="O136" s="14"/>
      <x:c r="P136" s="14" t="str">
        <x:v>D+4</x:v>
      </x:c>
      <x:c r="Q136" s="14"/>
      <x:c r="R136" s="14" t="str">
        <x:v>ORIGINAL</x:v>
      </x:c>
      <x:c r="S136" s="14" t="str">
        <x:v>NÃO</x:v>
      </x:c>
      <x:c r="T136" s="14" t="str">
        <x:v>REVISAR_OK</x:v>
      </x:c>
      <x:c r="U136" s="14" t="str">
        <x:v>doc20620820260704143103.pdf</x:v>
      </x:c>
      <x:c r="V136" s="14" t="str">
        <x:v>1</x:v>
      </x:c>
      <x:c r="W136" s="14" t="str">
        <x:v>Grupo REGIÃO; prazo pode variar conforme linha da proposta</x:v>
      </x:c>
      <x:c r="X136"/>
      <x:c r="Y136"/>
      <x:c r="Z136"/>
      <x:c r="AA136"/>
      <x:c r="AB136"/>
      <x:c r="AC136" t="str">
        <x:v>SIM</x:v>
      </x:c>
      <x:c r="AD136" t="str">
        <x:v>GN</x:v>
      </x:c>
      <x:c r="AE136" s="12" t="str">
        <x:v>PERCENTUAL</x:v>
      </x:c>
      <x:c r="AF136" s="12"/>
      <x:c r="AG136" s="12" t="str">
        <x:v>2.6.44</x:v>
      </x:c>
      <x:c r="AH136" s="12" t="str">
        <x:v>Frete base × percentual; aplicar frete mínimo quando maior. Bloco percentual ativado; controle visual passivo.</x:v>
      </x:c>
      <x:c r="AI136"/>
    </x:row>
    <x:row r="137">
      <x:c r="A137" s="14" t="str">
        <x:v>GN_NORTE_0136</x:v>
      </x:c>
      <x:c r="B137" s="14" t="str">
        <x:v>GN_NORTE</x:v>
      </x:c>
      <x:c r="C137" s="14"/>
      <x:c r="D137" s="14"/>
      <x:c r="E137" s="14" t="str">
        <x:v>Santarém</x:v>
      </x:c>
      <x:c r="F137" s="14" t="str">
        <x:v>PA</x:v>
      </x:c>
      <x:c r="G137" s="14" t="str">
        <x:v>Brasil Novo</x:v>
      </x:c>
      <x:c r="H137" s="14" t="str">
        <x:v>PA</x:v>
      </x:c>
      <x:c r="I137" s="14" t="str">
        <x:v>REGIÃO</x:v>
      </x:c>
      <x:c r="J137" s="14"/>
      <x:c r="K137" s="14" t="str">
        <x:v>35%</x:v>
      </x:c>
      <x:c r="L137" s="46"/>
      <x:c r="M137" s="46"/>
      <x:c r="N137" s="46"/>
      <x:c r="O137" s="14"/>
      <x:c r="P137" s="14" t="str">
        <x:v>D+4</x:v>
      </x:c>
      <x:c r="Q137" s="14"/>
      <x:c r="R137" s="14" t="str">
        <x:v>ORIGINAL</x:v>
      </x:c>
      <x:c r="S137" s="14" t="str">
        <x:v>NÃO</x:v>
      </x:c>
      <x:c r="T137" s="14" t="str">
        <x:v>REVISAR_OK</x:v>
      </x:c>
      <x:c r="U137" s="14" t="str">
        <x:v>doc20620820260704143103.pdf</x:v>
      </x:c>
      <x:c r="V137" s="14" t="str">
        <x:v>1</x:v>
      </x:c>
      <x:c r="W137" s="14" t="str">
        <x:v>Grupo REGIÃO; prazo pode variar conforme linha da proposta</x:v>
      </x:c>
      <x:c r="X137"/>
      <x:c r="Y137"/>
      <x:c r="Z137"/>
      <x:c r="AA137"/>
      <x:c r="AB137"/>
      <x:c r="AC137" t="str">
        <x:v>SIM</x:v>
      </x:c>
      <x:c r="AD137" t="str">
        <x:v>GN</x:v>
      </x:c>
      <x:c r="AE137" s="12" t="str">
        <x:v>PERCENTUAL</x:v>
      </x:c>
      <x:c r="AF137" s="12"/>
      <x:c r="AG137" s="12" t="str">
        <x:v>2.6.44</x:v>
      </x:c>
      <x:c r="AH137" s="12" t="str">
        <x:v>Frete base × percentual; aplicar frete mínimo quando maior. Bloco percentual ativado; controle visual passivo.</x:v>
      </x:c>
      <x:c r="AI137"/>
    </x:row>
    <x:row r="138">
      <x:c r="A138" s="14" t="str">
        <x:v>GN_NORTE_0137</x:v>
      </x:c>
      <x:c r="B138" s="14" t="str">
        <x:v>GN_NORTE</x:v>
      </x:c>
      <x:c r="C138" s="14"/>
      <x:c r="D138" s="14"/>
      <x:c r="E138" s="14" t="str">
        <x:v>Santarém</x:v>
      </x:c>
      <x:c r="F138" s="14" t="str">
        <x:v>PA</x:v>
      </x:c>
      <x:c r="G138" s="14" t="str">
        <x:v>Uruará</x:v>
      </x:c>
      <x:c r="H138" s="14" t="str">
        <x:v>PA</x:v>
      </x:c>
      <x:c r="I138" s="14" t="str">
        <x:v>REGIÃO</x:v>
      </x:c>
      <x:c r="J138" s="14"/>
      <x:c r="K138" s="14" t="str">
        <x:v>35%</x:v>
      </x:c>
      <x:c r="L138" s="46"/>
      <x:c r="M138" s="46"/>
      <x:c r="N138" s="46"/>
      <x:c r="O138" s="14"/>
      <x:c r="P138" s="14" t="str">
        <x:v>D+4</x:v>
      </x:c>
      <x:c r="Q138" s="14"/>
      <x:c r="R138" s="14" t="str">
        <x:v>ORIGINAL</x:v>
      </x:c>
      <x:c r="S138" s="14" t="str">
        <x:v>NÃO</x:v>
      </x:c>
      <x:c r="T138" s="14" t="str">
        <x:v>REVISAR_OK</x:v>
      </x:c>
      <x:c r="U138" s="14" t="str">
        <x:v>doc20620820260704143103.pdf</x:v>
      </x:c>
      <x:c r="V138" s="14" t="str">
        <x:v>1</x:v>
      </x:c>
      <x:c r="W138" s="14" t="str">
        <x:v>Grupo REGIÃO; prazo pode variar conforme linha da proposta</x:v>
      </x:c>
      <x:c r="X138"/>
      <x:c r="Y138"/>
      <x:c r="Z138"/>
      <x:c r="AA138"/>
      <x:c r="AB138"/>
      <x:c r="AC138" t="str">
        <x:v>SIM</x:v>
      </x:c>
      <x:c r="AD138" t="str">
        <x:v>GN</x:v>
      </x:c>
      <x:c r="AE138" s="12" t="str">
        <x:v>PERCENTUAL</x:v>
      </x:c>
      <x:c r="AF138" s="12"/>
      <x:c r="AG138" s="12" t="str">
        <x:v>2.6.44</x:v>
      </x:c>
      <x:c r="AH138" s="12" t="str">
        <x:v>Frete base × percentual; aplicar frete mínimo quando maior. Bloco percentual ativado; controle visual passivo.</x:v>
      </x:c>
      <x:c r="AI138"/>
    </x:row>
    <x:row r="139">
      <x:c r="A139" s="14" t="str">
        <x:v>GN_NORTE_0138</x:v>
      </x:c>
      <x:c r="B139" s="14" t="str">
        <x:v>GN_NORTE</x:v>
      </x:c>
      <x:c r="C139" s="14"/>
      <x:c r="D139" s="14"/>
      <x:c r="E139" s="14" t="str">
        <x:v>Santarém</x:v>
      </x:c>
      <x:c r="F139" s="14" t="str">
        <x:v>PA</x:v>
      </x:c>
      <x:c r="G139" s="14" t="str">
        <x:v>Moraes de Almeida</x:v>
      </x:c>
      <x:c r="H139" s="14" t="str">
        <x:v>PA</x:v>
      </x:c>
      <x:c r="I139" s="14" t="str">
        <x:v>INTERIOR 1</x:v>
      </x:c>
      <x:c r="J139" s="14"/>
      <x:c r="K139" s="14" t="str">
        <x:v>35%</x:v>
      </x:c>
      <x:c r="L139" s="46"/>
      <x:c r="M139" s="46"/>
      <x:c r="N139" s="46"/>
      <x:c r="O139" s="14"/>
      <x:c r="P139" s="14" t="str">
        <x:v>D+6</x:v>
      </x:c>
      <x:c r="Q139" s="14"/>
      <x:c r="R139" s="14" t="str">
        <x:v>ORIGINAL</x:v>
      </x:c>
      <x:c r="S139" s="14" t="str">
        <x:v>NÃO</x:v>
      </x:c>
      <x:c r="T139" s="14" t="str">
        <x:v>REVISAR_OK</x:v>
      </x:c>
      <x:c r="U139" s="14" t="str">
        <x:v>doc20620820260704143103.pdf</x:v>
      </x:c>
      <x:c r="V139" s="14" t="str">
        <x:v>1</x:v>
      </x:c>
      <x:c r="W139" s="14"/>
      <x:c r="X139"/>
      <x:c r="Y139"/>
      <x:c r="Z139"/>
      <x:c r="AA139"/>
      <x:c r="AB139"/>
      <x:c r="AC139" t="str">
        <x:v>SIM</x:v>
      </x:c>
      <x:c r="AD139" t="str">
        <x:v>GN</x:v>
      </x:c>
      <x:c r="AE139" s="12" t="str">
        <x:v>PERCENTUAL</x:v>
      </x:c>
      <x:c r="AF139" s="12"/>
      <x:c r="AG139" s="12" t="str">
        <x:v>2.6.44</x:v>
      </x:c>
      <x:c r="AH139" s="12" t="str">
        <x:v>Frete base × percentual; aplicar frete mínimo quando maior. Bloco percentual ativado; controle visual passivo.</x:v>
      </x:c>
      <x:c r="AI139"/>
    </x:row>
    <x:row r="140">
      <x:c r="A140" s="14" t="str">
        <x:v>GN_NORTE_0139</x:v>
      </x:c>
      <x:c r="B140" s="14" t="str">
        <x:v>GN_NORTE</x:v>
      </x:c>
      <x:c r="C140" s="14"/>
      <x:c r="D140" s="14"/>
      <x:c r="E140" s="14" t="str">
        <x:v>Santarém</x:v>
      </x:c>
      <x:c r="F140" s="14" t="str">
        <x:v>PA</x:v>
      </x:c>
      <x:c r="G140" s="14" t="str">
        <x:v>Bela Vista do Caracol</x:v>
      </x:c>
      <x:c r="H140" s="14" t="str">
        <x:v>PA</x:v>
      </x:c>
      <x:c r="I140" s="14" t="str">
        <x:v>INTERIOR 1</x:v>
      </x:c>
      <x:c r="J140" s="14"/>
      <x:c r="K140" s="14" t="str">
        <x:v>35%</x:v>
      </x:c>
      <x:c r="L140" s="46"/>
      <x:c r="M140" s="46"/>
      <x:c r="N140" s="46"/>
      <x:c r="O140" s="14"/>
      <x:c r="P140" s="14" t="str">
        <x:v>D+6</x:v>
      </x:c>
      <x:c r="Q140" s="14"/>
      <x:c r="R140" s="14" t="str">
        <x:v>ORIGINAL</x:v>
      </x:c>
      <x:c r="S140" s="14" t="str">
        <x:v>NÃO</x:v>
      </x:c>
      <x:c r="T140" s="14" t="str">
        <x:v>REVISAR_OK</x:v>
      </x:c>
      <x:c r="U140" s="14" t="str">
        <x:v>doc20620820260704143103.pdf</x:v>
      </x:c>
      <x:c r="V140" s="14" t="str">
        <x:v>1</x:v>
      </x:c>
      <x:c r="W140" s="14"/>
      <x:c r="X140"/>
      <x:c r="Y140"/>
      <x:c r="Z140"/>
      <x:c r="AA140"/>
      <x:c r="AB140"/>
      <x:c r="AC140" t="str">
        <x:v>SIM</x:v>
      </x:c>
      <x:c r="AD140" t="str">
        <x:v>GN</x:v>
      </x:c>
      <x:c r="AE140" s="12" t="str">
        <x:v>PERCENTUAL</x:v>
      </x:c>
      <x:c r="AF140" s="12"/>
      <x:c r="AG140" s="12" t="str">
        <x:v>2.6.44</x:v>
      </x:c>
      <x:c r="AH140" s="12" t="str">
        <x:v>Frete base × percentual; aplicar frete mínimo quando maior. Bloco percentual ativado; controle visual passivo.</x:v>
      </x:c>
      <x:c r="AI140"/>
    </x:row>
    <x:row r="141">
      <x:c r="A141" s="14" t="str">
        <x:v>GN_NORTE_0140</x:v>
      </x:c>
      <x:c r="B141" s="14" t="str">
        <x:v>GN_NORTE</x:v>
      </x:c>
      <x:c r="C141" s="14"/>
      <x:c r="D141" s="14"/>
      <x:c r="E141" s="14" t="str">
        <x:v>Santarém</x:v>
      </x:c>
      <x:c r="F141" s="14" t="str">
        <x:v>PA</x:v>
      </x:c>
      <x:c r="G141" s="14" t="str">
        <x:v>Miritituba</x:v>
      </x:c>
      <x:c r="H141" s="14" t="str">
        <x:v>PA</x:v>
      </x:c>
      <x:c r="I141" s="14" t="str">
        <x:v>INTERIOR 1</x:v>
      </x:c>
      <x:c r="J141" s="14"/>
      <x:c r="K141" s="14" t="str">
        <x:v>35%</x:v>
      </x:c>
      <x:c r="L141" s="46"/>
      <x:c r="M141" s="46"/>
      <x:c r="N141" s="46"/>
      <x:c r="O141" s="14"/>
      <x:c r="P141" s="14" t="str">
        <x:v>D+6</x:v>
      </x:c>
      <x:c r="Q141" s="14"/>
      <x:c r="R141" s="14" t="str">
        <x:v>ORIGINAL</x:v>
      </x:c>
      <x:c r="S141" s="14" t="str">
        <x:v>NÃO</x:v>
      </x:c>
      <x:c r="T141" s="14" t="str">
        <x:v>REVISAR_OK</x:v>
      </x:c>
      <x:c r="U141" s="14" t="str">
        <x:v>doc20620820260704143103.pdf</x:v>
      </x:c>
      <x:c r="V141" s="14" t="str">
        <x:v>1</x:v>
      </x:c>
      <x:c r="W141" s="14"/>
      <x:c r="X141"/>
      <x:c r="Y141"/>
      <x:c r="Z141"/>
      <x:c r="AA141"/>
      <x:c r="AB141"/>
      <x:c r="AC141" t="str">
        <x:v>SIM</x:v>
      </x:c>
      <x:c r="AD141" t="str">
        <x:v>GN</x:v>
      </x:c>
      <x:c r="AE141" s="12" t="str">
        <x:v>PERCENTUAL</x:v>
      </x:c>
      <x:c r="AF141" s="12"/>
      <x:c r="AG141" s="12" t="str">
        <x:v>2.6.44</x:v>
      </x:c>
      <x:c r="AH141" s="12" t="str">
        <x:v>Frete base × percentual; aplicar frete mínimo quando maior. Bloco percentual ativado; controle visual passivo.</x:v>
      </x:c>
      <x:c r="AI141"/>
    </x:row>
    <x:row r="142">
      <x:c r="A142" s="14" t="str">
        <x:v>GN_NORTE_0141</x:v>
      </x:c>
      <x:c r="B142" s="14" t="str">
        <x:v>GN_NORTE</x:v>
      </x:c>
      <x:c r="C142" s="14"/>
      <x:c r="D142" s="14"/>
      <x:c r="E142" s="14" t="str">
        <x:v>Santarém</x:v>
      </x:c>
      <x:c r="F142" s="14" t="str">
        <x:v>PA</x:v>
      </x:c>
      <x:c r="G142" s="14" t="str">
        <x:v>Placas</x:v>
      </x:c>
      <x:c r="H142" s="14" t="str">
        <x:v>PA</x:v>
      </x:c>
      <x:c r="I142" s="14" t="str">
        <x:v>INTERIOR 1</x:v>
      </x:c>
      <x:c r="J142" s="14"/>
      <x:c r="K142" s="14" t="str">
        <x:v>35%</x:v>
      </x:c>
      <x:c r="L142" s="46"/>
      <x:c r="M142" s="46"/>
      <x:c r="N142" s="46"/>
      <x:c r="O142" s="14"/>
      <x:c r="P142" s="14" t="str">
        <x:v>D+6</x:v>
      </x:c>
      <x:c r="Q142" s="14"/>
      <x:c r="R142" s="14" t="str">
        <x:v>ORIGINAL</x:v>
      </x:c>
      <x:c r="S142" s="14" t="str">
        <x:v>NÃO</x:v>
      </x:c>
      <x:c r="T142" s="14" t="str">
        <x:v>REVISAR_OK</x:v>
      </x:c>
      <x:c r="U142" s="14" t="str">
        <x:v>doc20620820260704143103.pdf</x:v>
      </x:c>
      <x:c r="V142" s="14" t="str">
        <x:v>1</x:v>
      </x:c>
      <x:c r="W142" s="14"/>
      <x:c r="X142"/>
      <x:c r="Y142"/>
      <x:c r="Z142"/>
      <x:c r="AA142"/>
      <x:c r="AB142"/>
      <x:c r="AC142" t="str">
        <x:v>SIM</x:v>
      </x:c>
      <x:c r="AD142" t="str">
        <x:v>GN</x:v>
      </x:c>
      <x:c r="AE142" s="12" t="str">
        <x:v>PERCENTUAL</x:v>
      </x:c>
      <x:c r="AF142" s="12"/>
      <x:c r="AG142" s="12" t="str">
        <x:v>2.6.44</x:v>
      </x:c>
      <x:c r="AH142" s="12" t="str">
        <x:v>Frete base × percentual; aplicar frete mínimo quando maior. Bloco percentual ativado; controle visual passivo.</x:v>
      </x:c>
      <x:c r="AI142"/>
    </x:row>
    <x:row r="143">
      <x:c r="A143" s="14" t="str">
        <x:v>GN_NORTE_0142</x:v>
      </x:c>
      <x:c r="B143" s="14" t="str">
        <x:v>GN_NORTE</x:v>
      </x:c>
      <x:c r="C143" s="14"/>
      <x:c r="D143" s="14"/>
      <x:c r="E143" s="14" t="str">
        <x:v>Santarém</x:v>
      </x:c>
      <x:c r="F143" s="14" t="str">
        <x:v>PA</x:v>
      </x:c>
      <x:c r="G143" s="14" t="str">
        <x:v>Campo Verde</x:v>
      </x:c>
      <x:c r="H143" s="14" t="str">
        <x:v>PA</x:v>
      </x:c>
      <x:c r="I143" s="14" t="str">
        <x:v>INTERIOR 1</x:v>
      </x:c>
      <x:c r="J143" s="14"/>
      <x:c r="K143" s="14" t="str">
        <x:v>35%</x:v>
      </x:c>
      <x:c r="L143" s="46"/>
      <x:c r="M143" s="46"/>
      <x:c r="N143" s="46"/>
      <x:c r="O143" s="14"/>
      <x:c r="P143" s="14" t="str">
        <x:v>D+6</x:v>
      </x:c>
      <x:c r="Q143" s="14"/>
      <x:c r="R143" s="14" t="str">
        <x:v>ORIGINAL</x:v>
      </x:c>
      <x:c r="S143" s="14" t="str">
        <x:v>NÃO</x:v>
      </x:c>
      <x:c r="T143" s="14" t="str">
        <x:v>REVISAR_OK</x:v>
      </x:c>
      <x:c r="U143" s="14" t="str">
        <x:v>doc20620820260704143103.pdf</x:v>
      </x:c>
      <x:c r="V143" s="14" t="str">
        <x:v>1</x:v>
      </x:c>
      <x:c r="W143" s="14"/>
      <x:c r="X143"/>
      <x:c r="Y143"/>
      <x:c r="Z143"/>
      <x:c r="AA143"/>
      <x:c r="AB143"/>
      <x:c r="AC143" t="str">
        <x:v>SIM</x:v>
      </x:c>
      <x:c r="AD143" t="str">
        <x:v>GN</x:v>
      </x:c>
      <x:c r="AE143" s="12" t="str">
        <x:v>PERCENTUAL</x:v>
      </x:c>
      <x:c r="AF143" s="12"/>
      <x:c r="AG143" s="12" t="str">
        <x:v>2.6.44</x:v>
      </x:c>
      <x:c r="AH143" s="12" t="str">
        <x:v>Frete base × percentual; aplicar frete mínimo quando maior. Bloco percentual ativado; controle visual passivo.</x:v>
      </x:c>
      <x:c r="AI143"/>
    </x:row>
    <x:row r="144">
      <x:c r="A144" s="14" t="str">
        <x:v>GN_NORTE_0143</x:v>
      </x:c>
      <x:c r="B144" s="14" t="str">
        <x:v>GN_NORTE</x:v>
      </x:c>
      <x:c r="C144" s="14"/>
      <x:c r="D144" s="14"/>
      <x:c r="E144" s="14" t="str">
        <x:v>Santarém</x:v>
      </x:c>
      <x:c r="F144" s="14" t="str">
        <x:v>PA</x:v>
      </x:c>
      <x:c r="G144" s="14" t="str">
        <x:v>km30</x:v>
      </x:c>
      <x:c r="H144" s="14" t="str">
        <x:v>PA</x:v>
      </x:c>
      <x:c r="I144" s="14" t="str">
        <x:v>INTERIOR 1</x:v>
      </x:c>
      <x:c r="J144" s="14"/>
      <x:c r="K144" s="14" t="str">
        <x:v>35%</x:v>
      </x:c>
      <x:c r="L144" s="46"/>
      <x:c r="M144" s="46"/>
      <x:c r="N144" s="46"/>
      <x:c r="O144" s="14"/>
      <x:c r="P144" s="14" t="str">
        <x:v>D+6</x:v>
      </x:c>
      <x:c r="Q144" s="14"/>
      <x:c r="R144" s="14" t="str">
        <x:v>ORIGINAL</x:v>
      </x:c>
      <x:c r="S144" s="14" t="str">
        <x:v>NÃO</x:v>
      </x:c>
      <x:c r="T144" s="14" t="str">
        <x:v>REVISAR_OK</x:v>
      </x:c>
      <x:c r="U144" s="14" t="str">
        <x:v>doc20620820260704143103.pdf</x:v>
      </x:c>
      <x:c r="V144" s="14" t="str">
        <x:v>1</x:v>
      </x:c>
      <x:c r="W144" s="14"/>
      <x:c r="X144"/>
      <x:c r="Y144"/>
      <x:c r="Z144"/>
      <x:c r="AA144"/>
      <x:c r="AB144"/>
      <x:c r="AC144" t="str">
        <x:v>SIM</x:v>
      </x:c>
      <x:c r="AD144" t="str">
        <x:v>GN</x:v>
      </x:c>
      <x:c r="AE144" s="12" t="str">
        <x:v>PERCENTUAL</x:v>
      </x:c>
      <x:c r="AF144" s="12"/>
      <x:c r="AG144" s="12" t="str">
        <x:v>2.6.44</x:v>
      </x:c>
      <x:c r="AH144" s="12" t="str">
        <x:v>Frete base × percentual; aplicar frete mínimo quando maior. Bloco percentual ativado; controle visual passivo.</x:v>
      </x:c>
      <x:c r="AI144"/>
    </x:row>
    <x:row r="145">
      <x:c r="A145" s="14" t="str">
        <x:v>GN_NORTE_0144</x:v>
      </x:c>
      <x:c r="B145" s="14" t="str">
        <x:v>GN_NORTE</x:v>
      </x:c>
      <x:c r="C145" s="14"/>
      <x:c r="D145" s="14"/>
      <x:c r="E145" s="14" t="str">
        <x:v>Santarém</x:v>
      </x:c>
      <x:c r="F145" s="14" t="str">
        <x:v>PA</x:v>
      </x:c>
      <x:c r="G145" s="14" t="str">
        <x:v>km40</x:v>
      </x:c>
      <x:c r="H145" s="14" t="str">
        <x:v>PA</x:v>
      </x:c>
      <x:c r="I145" s="14" t="str">
        <x:v>INTERIOR 1</x:v>
      </x:c>
      <x:c r="J145" s="14"/>
      <x:c r="K145" s="14" t="str">
        <x:v>35%</x:v>
      </x:c>
      <x:c r="L145" s="46"/>
      <x:c r="M145" s="46"/>
      <x:c r="N145" s="46"/>
      <x:c r="O145" s="14"/>
      <x:c r="P145" s="14" t="str">
        <x:v>D+6</x:v>
      </x:c>
      <x:c r="Q145" s="14"/>
      <x:c r="R145" s="14" t="str">
        <x:v>ORIGINAL</x:v>
      </x:c>
      <x:c r="S145" s="14" t="str">
        <x:v>NÃO</x:v>
      </x:c>
      <x:c r="T145" s="14" t="str">
        <x:v>REVISAR_OK</x:v>
      </x:c>
      <x:c r="U145" s="14" t="str">
        <x:v>doc20620820260704143103.pdf</x:v>
      </x:c>
      <x:c r="V145" s="14" t="str">
        <x:v>1</x:v>
      </x:c>
      <x:c r="W145" s="14"/>
      <x:c r="X145"/>
      <x:c r="Y145"/>
      <x:c r="Z145"/>
      <x:c r="AA145"/>
      <x:c r="AB145"/>
      <x:c r="AC145" t="str">
        <x:v>SIM</x:v>
      </x:c>
      <x:c r="AD145" t="str">
        <x:v>GN</x:v>
      </x:c>
      <x:c r="AE145" s="12" t="str">
        <x:v>PERCENTUAL</x:v>
      </x:c>
      <x:c r="AF145" s="12"/>
      <x:c r="AG145" s="12" t="str">
        <x:v>2.6.44</x:v>
      </x:c>
      <x:c r="AH145" s="12" t="str">
        <x:v>Frete base × percentual; aplicar frete mínimo quando maior. Bloco percentual ativado; controle visual passivo.</x:v>
      </x:c>
      <x:c r="AI145"/>
    </x:row>
    <x:row r="146">
      <x:c r="A146" s="14" t="str">
        <x:v>GN_NORTE_0145</x:v>
      </x:c>
      <x:c r="B146" s="14" t="str">
        <x:v>GN_NORTE</x:v>
      </x:c>
      <x:c r="C146" s="14"/>
      <x:c r="D146" s="14"/>
      <x:c r="E146" s="14" t="str">
        <x:v>Santarém</x:v>
      </x:c>
      <x:c r="F146" s="14" t="str">
        <x:v>PA</x:v>
      </x:c>
      <x:c r="G146" s="14" t="str">
        <x:v>km50</x:v>
      </x:c>
      <x:c r="H146" s="14" t="str">
        <x:v>PA</x:v>
      </x:c>
      <x:c r="I146" s="14" t="str">
        <x:v>INTERIOR 1</x:v>
      </x:c>
      <x:c r="J146" s="14"/>
      <x:c r="K146" s="14" t="str">
        <x:v>35%</x:v>
      </x:c>
      <x:c r="L146" s="46"/>
      <x:c r="M146" s="46"/>
      <x:c r="N146" s="46"/>
      <x:c r="O146" s="14"/>
      <x:c r="P146" s="14" t="str">
        <x:v>D+6</x:v>
      </x:c>
      <x:c r="Q146" s="14"/>
      <x:c r="R146" s="14" t="str">
        <x:v>ORIGINAL</x:v>
      </x:c>
      <x:c r="S146" s="14" t="str">
        <x:v>NÃO</x:v>
      </x:c>
      <x:c r="T146" s="14" t="str">
        <x:v>REVISAR_OK</x:v>
      </x:c>
      <x:c r="U146" s="14" t="str">
        <x:v>doc20620820260704143103.pdf</x:v>
      </x:c>
      <x:c r="V146" s="14" t="str">
        <x:v>1</x:v>
      </x:c>
      <x:c r="W146" s="14"/>
      <x:c r="X146"/>
      <x:c r="Y146"/>
      <x:c r="Z146"/>
      <x:c r="AA146"/>
      <x:c r="AB146"/>
      <x:c r="AC146" t="str">
        <x:v>SIM</x:v>
      </x:c>
      <x:c r="AD146" t="str">
        <x:v>GN</x:v>
      </x:c>
      <x:c r="AE146" s="12" t="str">
        <x:v>PERCENTUAL</x:v>
      </x:c>
      <x:c r="AF146" s="12"/>
      <x:c r="AG146" s="12" t="str">
        <x:v>2.6.44</x:v>
      </x:c>
      <x:c r="AH146" s="12" t="str">
        <x:v>Frete base × percentual; aplicar frete mínimo quando maior. Bloco percentual ativado; controle visual passivo.</x:v>
      </x:c>
      <x:c r="AI146"/>
    </x:row>
    <x:row r="147">
      <x:c r="A147" s="14" t="str">
        <x:v>GN_NORTE_0146</x:v>
      </x:c>
      <x:c r="B147" s="14" t="str">
        <x:v>GN_NORTE</x:v>
      </x:c>
      <x:c r="C147" s="14"/>
      <x:c r="D147" s="14"/>
      <x:c r="E147" s="14" t="str">
        <x:v>Santarém</x:v>
      </x:c>
      <x:c r="F147" s="14" t="str">
        <x:v>PA</x:v>
      </x:c>
      <x:c r="G147" s="14" t="str">
        <x:v>km100</x:v>
      </x:c>
      <x:c r="H147" s="14" t="str">
        <x:v>PA</x:v>
      </x:c>
      <x:c r="I147" s="14" t="str">
        <x:v>INTERIOR 1</x:v>
      </x:c>
      <x:c r="J147" s="14"/>
      <x:c r="K147" s="14" t="str">
        <x:v>35%</x:v>
      </x:c>
      <x:c r="L147" s="46"/>
      <x:c r="M147" s="46"/>
      <x:c r="N147" s="46"/>
      <x:c r="O147" s="14"/>
      <x:c r="P147" s="14" t="str">
        <x:v>D+6</x:v>
      </x:c>
      <x:c r="Q147" s="14"/>
      <x:c r="R147" s="14" t="str">
        <x:v>ORIGINAL</x:v>
      </x:c>
      <x:c r="S147" s="14" t="str">
        <x:v>NÃO</x:v>
      </x:c>
      <x:c r="T147" s="14" t="str">
        <x:v>REVISAR_OK</x:v>
      </x:c>
      <x:c r="U147" s="14" t="str">
        <x:v>doc20620820260704143103.pdf</x:v>
      </x:c>
      <x:c r="V147" s="14" t="str">
        <x:v>1</x:v>
      </x:c>
      <x:c r="W147" s="14"/>
      <x:c r="X147"/>
      <x:c r="Y147"/>
      <x:c r="Z147"/>
      <x:c r="AA147"/>
      <x:c r="AB147"/>
      <x:c r="AC147" t="str">
        <x:v>SIM</x:v>
      </x:c>
      <x:c r="AD147" t="str">
        <x:v>GN</x:v>
      </x:c>
      <x:c r="AE147" s="12" t="str">
        <x:v>PERCENTUAL</x:v>
      </x:c>
      <x:c r="AF147" s="12"/>
      <x:c r="AG147" s="12" t="str">
        <x:v>2.6.44</x:v>
      </x:c>
      <x:c r="AH147" s="12" t="str">
        <x:v>Frete base × percentual; aplicar frete mínimo quando maior. Bloco percentual ativado; controle visual passivo.</x:v>
      </x:c>
      <x:c r="AI147"/>
    </x:row>
    <x:row r="148">
      <x:c r="A148" s="14" t="str">
        <x:v>GN_NORTE_0147</x:v>
      </x:c>
      <x:c r="B148" s="14" t="str">
        <x:v>GN_NORTE</x:v>
      </x:c>
      <x:c r="C148" s="14"/>
      <x:c r="D148" s="14"/>
      <x:c r="E148" s="14" t="str">
        <x:v>Santarém</x:v>
      </x:c>
      <x:c r="F148" s="14" t="str">
        <x:v>PA</x:v>
      </x:c>
      <x:c r="G148" s="14" t="str">
        <x:v>Pacajá</x:v>
      </x:c>
      <x:c r="H148" s="14" t="str">
        <x:v>PA</x:v>
      </x:c>
      <x:c r="I148" s="14" t="str">
        <x:v>INTERIOR 1</x:v>
      </x:c>
      <x:c r="J148" s="14"/>
      <x:c r="K148" s="14" t="str">
        <x:v>35%</x:v>
      </x:c>
      <x:c r="L148" s="46"/>
      <x:c r="M148" s="46"/>
      <x:c r="N148" s="46"/>
      <x:c r="O148" s="14"/>
      <x:c r="P148" s="14" t="str">
        <x:v>D+6</x:v>
      </x:c>
      <x:c r="Q148" s="14"/>
      <x:c r="R148" s="14" t="str">
        <x:v>ORIGINAL</x:v>
      </x:c>
      <x:c r="S148" s="14" t="str">
        <x:v>NÃO</x:v>
      </x:c>
      <x:c r="T148" s="14" t="str">
        <x:v>REVISAR_OK</x:v>
      </x:c>
      <x:c r="U148" s="14" t="str">
        <x:v>doc20620820260704143103.pdf</x:v>
      </x:c>
      <x:c r="V148" s="14" t="str">
        <x:v>1</x:v>
      </x:c>
      <x:c r="W148" s="14"/>
      <x:c r="X148"/>
      <x:c r="Y148"/>
      <x:c r="Z148"/>
      <x:c r="AA148"/>
      <x:c r="AB148"/>
      <x:c r="AC148" t="str">
        <x:v>SIM</x:v>
      </x:c>
      <x:c r="AD148" t="str">
        <x:v>GN</x:v>
      </x:c>
      <x:c r="AE148" s="12" t="str">
        <x:v>PERCENTUAL</x:v>
      </x:c>
      <x:c r="AF148" s="12"/>
      <x:c r="AG148" s="12" t="str">
        <x:v>2.6.44</x:v>
      </x:c>
      <x:c r="AH148" s="12" t="str">
        <x:v>Frete base × percentual; aplicar frete mínimo quando maior. Bloco percentual ativado; controle visual passivo.</x:v>
      </x:c>
      <x:c r="AI148"/>
    </x:row>
    <x:row r="149">
      <x:c r="A149" s="14" t="str">
        <x:v>GN_NORTE_0148</x:v>
      </x:c>
      <x:c r="B149" s="14" t="str">
        <x:v>GN_NORTE</x:v>
      </x:c>
      <x:c r="C149" s="14"/>
      <x:c r="D149" s="14"/>
      <x:c r="E149" s="14" t="str">
        <x:v>Santarém</x:v>
      </x:c>
      <x:c r="F149" s="14" t="str">
        <x:v>PA</x:v>
      </x:c>
      <x:c r="G149" s="14" t="str">
        <x:v>Curuá</x:v>
      </x:c>
      <x:c r="H149" s="14" t="str">
        <x:v>PA</x:v>
      </x:c>
      <x:c r="I149" s="14" t="str">
        <x:v>INTERIOR 1</x:v>
      </x:c>
      <x:c r="J149" s="14"/>
      <x:c r="K149" s="14" t="str">
        <x:v>35%</x:v>
      </x:c>
      <x:c r="L149" s="46"/>
      <x:c r="M149" s="46"/>
      <x:c r="N149" s="46"/>
      <x:c r="O149" s="14"/>
      <x:c r="P149" s="14" t="str">
        <x:v>D+6</x:v>
      </x:c>
      <x:c r="Q149" s="14"/>
      <x:c r="R149" s="14" t="str">
        <x:v>ORIGINAL</x:v>
      </x:c>
      <x:c r="S149" s="14" t="str">
        <x:v>NÃO</x:v>
      </x:c>
      <x:c r="T149" s="14" t="str">
        <x:v>REVISAR_OK</x:v>
      </x:c>
      <x:c r="U149" s="14" t="str">
        <x:v>doc20620820260704143103.pdf</x:v>
      </x:c>
      <x:c r="V149" s="14" t="str">
        <x:v>1</x:v>
      </x:c>
      <x:c r="W149" s="14"/>
      <x:c r="X149"/>
      <x:c r="Y149"/>
      <x:c r="Z149"/>
      <x:c r="AA149"/>
      <x:c r="AB149"/>
      <x:c r="AC149" t="str">
        <x:v>SIM</x:v>
      </x:c>
      <x:c r="AD149" t="str">
        <x:v>GN</x:v>
      </x:c>
      <x:c r="AE149" s="12" t="str">
        <x:v>PERCENTUAL</x:v>
      </x:c>
      <x:c r="AF149" s="12"/>
      <x:c r="AG149" s="12" t="str">
        <x:v>2.6.44</x:v>
      </x:c>
      <x:c r="AH149" s="12" t="str">
        <x:v>Frete base × percentual; aplicar frete mínimo quando maior. Bloco percentual ativado; controle visual passivo.</x:v>
      </x:c>
      <x:c r="AI149"/>
    </x:row>
    <x:row r="150">
      <x:c r="A150" s="14" t="str">
        <x:v>GN_NORTE_0149</x:v>
      </x:c>
      <x:c r="B150" s="14" t="str">
        <x:v>GN_NORTE</x:v>
      </x:c>
      <x:c r="C150" s="14"/>
      <x:c r="D150" s="14"/>
      <x:c r="E150" s="14" t="str">
        <x:v>Santarém</x:v>
      </x:c>
      <x:c r="F150" s="14" t="str">
        <x:v>PA</x:v>
      </x:c>
      <x:c r="G150" s="14" t="str">
        <x:v>Terra Santa</x:v>
      </x:c>
      <x:c r="H150" s="14" t="str">
        <x:v>PA</x:v>
      </x:c>
      <x:c r="I150" s="14" t="str">
        <x:v>INTERIOR 1</x:v>
      </x:c>
      <x:c r="J150" s="14"/>
      <x:c r="K150" s="14" t="str">
        <x:v>35%</x:v>
      </x:c>
      <x:c r="L150" s="46"/>
      <x:c r="M150" s="46"/>
      <x:c r="N150" s="46"/>
      <x:c r="O150" s="14"/>
      <x:c r="P150" s="14" t="str">
        <x:v>D+6</x:v>
      </x:c>
      <x:c r="Q150" s="14"/>
      <x:c r="R150" s="14" t="str">
        <x:v>ORIGINAL</x:v>
      </x:c>
      <x:c r="S150" s="14" t="str">
        <x:v>NÃO</x:v>
      </x:c>
      <x:c r="T150" s="14" t="str">
        <x:v>REVISAR_OK</x:v>
      </x:c>
      <x:c r="U150" s="14" t="str">
        <x:v>doc20620820260704143103.pdf</x:v>
      </x:c>
      <x:c r="V150" s="14" t="str">
        <x:v>1</x:v>
      </x:c>
      <x:c r="W150" s="14"/>
      <x:c r="X150"/>
      <x:c r="Y150"/>
      <x:c r="Z150"/>
      <x:c r="AA150"/>
      <x:c r="AB150"/>
      <x:c r="AC150" t="str">
        <x:v>SIM</x:v>
      </x:c>
      <x:c r="AD150" t="str">
        <x:v>GN</x:v>
      </x:c>
      <x:c r="AE150" s="12" t="str">
        <x:v>PERCENTUAL</x:v>
      </x:c>
      <x:c r="AF150" s="12"/>
      <x:c r="AG150" s="12" t="str">
        <x:v>2.6.44</x:v>
      </x:c>
      <x:c r="AH150" s="12" t="str">
        <x:v>Frete base × percentual; aplicar frete mínimo quando maior. Bloco percentual ativado; controle visual passivo.</x:v>
      </x:c>
      <x:c r="AI150"/>
    </x:row>
    <x:row r="151">
      <x:c r="A151" s="14" t="str">
        <x:v>GN_NORTE_0150</x:v>
      </x:c>
      <x:c r="B151" s="14" t="str">
        <x:v>GN_NORTE</x:v>
      </x:c>
      <x:c r="C151" s="14"/>
      <x:c r="D151" s="14"/>
      <x:c r="E151" s="14" t="str">
        <x:v>Santarém</x:v>
      </x:c>
      <x:c r="F151" s="14" t="str">
        <x:v>PA</x:v>
      </x:c>
      <x:c r="G151" s="14" t="str">
        <x:v>Porto de Trombetas</x:v>
      </x:c>
      <x:c r="H151" s="14" t="str">
        <x:v>PA</x:v>
      </x:c>
      <x:c r="I151" s="14" t="str">
        <x:v>INTERIOR 1</x:v>
      </x:c>
      <x:c r="J151" s="14"/>
      <x:c r="K151" s="14" t="str">
        <x:v>35%</x:v>
      </x:c>
      <x:c r="L151" s="46"/>
      <x:c r="M151" s="46"/>
      <x:c r="N151" s="46"/>
      <x:c r="O151" s="14"/>
      <x:c r="P151" s="14" t="str">
        <x:v>D+6</x:v>
      </x:c>
      <x:c r="Q151" s="14"/>
      <x:c r="R151" s="14" t="str">
        <x:v>ORIGINAL</x:v>
      </x:c>
      <x:c r="S151" s="14" t="str">
        <x:v>NÃO</x:v>
      </x:c>
      <x:c r="T151" s="14" t="str">
        <x:v>REVISAR_OK</x:v>
      </x:c>
      <x:c r="U151" s="14" t="str">
        <x:v>doc20620820260704143103.pdf</x:v>
      </x:c>
      <x:c r="V151" s="14" t="str">
        <x:v>1</x:v>
      </x:c>
      <x:c r="W151" s="14"/>
      <x:c r="X151"/>
      <x:c r="Y151"/>
      <x:c r="Z151"/>
      <x:c r="AA151"/>
      <x:c r="AB151"/>
      <x:c r="AC151" t="str">
        <x:v>SIM</x:v>
      </x:c>
      <x:c r="AD151" t="str">
        <x:v>GN</x:v>
      </x:c>
      <x:c r="AE151" s="12" t="str">
        <x:v>PERCENTUAL</x:v>
      </x:c>
      <x:c r="AF151" s="12"/>
      <x:c r="AG151" s="12" t="str">
        <x:v>2.6.44</x:v>
      </x:c>
      <x:c r="AH151" s="12" t="str">
        <x:v>Frete base × percentual; aplicar frete mínimo quando maior. Bloco percentual ativado; controle visual passivo.</x:v>
      </x:c>
      <x:c r="AI151"/>
    </x:row>
    <x:row r="152">
      <x:c r="A152" s="14" t="str">
        <x:v>GN_NORTE_0151</x:v>
      </x:c>
      <x:c r="B152" s="14" t="str">
        <x:v>GN_NORTE</x:v>
      </x:c>
      <x:c r="C152" s="14"/>
      <x:c r="D152" s="14"/>
      <x:c r="E152" s="14" t="str">
        <x:v>Santarém</x:v>
      </x:c>
      <x:c r="F152" s="14" t="str">
        <x:v>PA</x:v>
      </x:c>
      <x:c r="G152" s="14" t="str">
        <x:v>Faro</x:v>
      </x:c>
      <x:c r="H152" s="14" t="str">
        <x:v>PA</x:v>
      </x:c>
      <x:c r="I152" s="14" t="str">
        <x:v>INTERIOR 2</x:v>
      </x:c>
      <x:c r="J152" s="14"/>
      <x:c r="K152" s="14" t="str">
        <x:v>35%</x:v>
      </x:c>
      <x:c r="L152" s="46"/>
      <x:c r="M152" s="46"/>
      <x:c r="N152" s="46"/>
      <x:c r="O152" s="14"/>
      <x:c r="P152" s="14" t="str">
        <x:v>D+8</x:v>
      </x:c>
      <x:c r="Q152" s="14"/>
      <x:c r="R152" s="14" t="str">
        <x:v>ORIGINAL</x:v>
      </x:c>
      <x:c r="S152" s="14" t="str">
        <x:v>NÃO</x:v>
      </x:c>
      <x:c r="T152" s="14" t="str">
        <x:v>REVISAR_OK</x:v>
      </x:c>
      <x:c r="U152" s="14" t="str">
        <x:v>doc20620820260704143103.pdf</x:v>
      </x:c>
      <x:c r="V152" s="14" t="str">
        <x:v>1</x:v>
      </x:c>
      <x:c r="W152" s="14"/>
      <x:c r="X152"/>
      <x:c r="Y152"/>
      <x:c r="Z152"/>
      <x:c r="AA152"/>
      <x:c r="AB152"/>
      <x:c r="AC152" t="str">
        <x:v>SIM</x:v>
      </x:c>
      <x:c r="AD152" t="str">
        <x:v>GN</x:v>
      </x:c>
      <x:c r="AE152" s="12" t="str">
        <x:v>PERCENTUAL</x:v>
      </x:c>
      <x:c r="AF152" s="12"/>
      <x:c r="AG152" s="12" t="str">
        <x:v>2.6.44</x:v>
      </x:c>
      <x:c r="AH152" s="12" t="str">
        <x:v>Frete base × percentual; aplicar frete mínimo quando maior. Bloco percentual ativado; controle visual passivo.</x:v>
      </x:c>
      <x:c r="AI152"/>
    </x:row>
    <x:row r="153">
      <x:c r="A153" s="14" t="str">
        <x:v>GN_NORTE_0152</x:v>
      </x:c>
      <x:c r="B153" s="14" t="str">
        <x:v>GN_NORTE</x:v>
      </x:c>
      <x:c r="C153" s="14"/>
      <x:c r="D153" s="14"/>
      <x:c r="E153" s="14" t="str">
        <x:v>Santarém</x:v>
      </x:c>
      <x:c r="F153" s="14" t="str">
        <x:v>PA</x:v>
      </x:c>
      <x:c r="G153" s="14" t="str">
        <x:v>Jacareacanga</x:v>
      </x:c>
      <x:c r="H153" s="14" t="str">
        <x:v>PA</x:v>
      </x:c>
      <x:c r="I153" s="14" t="str">
        <x:v>INTERIOR 2</x:v>
      </x:c>
      <x:c r="J153" s="14"/>
      <x:c r="K153" s="14" t="str">
        <x:v>35%</x:v>
      </x:c>
      <x:c r="L153" s="46"/>
      <x:c r="M153" s="46"/>
      <x:c r="N153" s="46"/>
      <x:c r="O153" s="14"/>
      <x:c r="P153" s="14" t="str">
        <x:v>D+8</x:v>
      </x:c>
      <x:c r="Q153" s="14"/>
      <x:c r="R153" s="14" t="str">
        <x:v>ORIGINAL</x:v>
      </x:c>
      <x:c r="S153" s="14" t="str">
        <x:v>NÃO</x:v>
      </x:c>
      <x:c r="T153" s="14" t="str">
        <x:v>REVISAR_OK</x:v>
      </x:c>
      <x:c r="U153" s="14" t="str">
        <x:v>doc20620820260704143103.pdf</x:v>
      </x:c>
      <x:c r="V153" s="14" t="str">
        <x:v>1</x:v>
      </x:c>
      <x:c r="W153" s="14"/>
      <x:c r="X153"/>
      <x:c r="Y153"/>
      <x:c r="Z153"/>
      <x:c r="AA153"/>
      <x:c r="AB153"/>
      <x:c r="AC153" t="str">
        <x:v>SIM</x:v>
      </x:c>
      <x:c r="AD153" t="str">
        <x:v>GN</x:v>
      </x:c>
      <x:c r="AE153" s="12" t="str">
        <x:v>PERCENTUAL</x:v>
      </x:c>
      <x:c r="AF153" s="12"/>
      <x:c r="AG153" s="12" t="str">
        <x:v>2.6.44</x:v>
      </x:c>
      <x:c r="AH153" s="12" t="str">
        <x:v>Frete base × percentual; aplicar frete mínimo quando maior. Bloco percentual ativado; controle visual passivo.</x:v>
      </x:c>
      <x:c r="AI153"/>
    </x:row>
    <x:row r="154">
      <x:c r="A154" s="14" t="str">
        <x:v>EM_0153</x:v>
      </x:c>
      <x:c r="B154" s="14" t="str">
        <x:v>EM</x:v>
      </x:c>
      <x:c r="C154" s="14"/>
      <x:c r="D154" s="14"/>
      <x:c r="E154" s="14" t="str">
        <x:v>Paragominas</x:v>
      </x:c>
      <x:c r="F154" s="14" t="str">
        <x:v>PA</x:v>
      </x:c>
      <x:c r="G154" s="14" t="str">
        <x:v>Tailândia</x:v>
      </x:c>
      <x:c r="H154" s="14" t="str">
        <x:v>PA</x:v>
      </x:c>
      <x:c r="I154" s="14" t="str">
        <x:v>PARAGOMINAS</x:v>
      </x:c>
      <x:c r="J154" s="14"/>
      <x:c r="K154" s="14" t="str">
        <x:v>35%</x:v>
      </x:c>
      <x:c r="L154" s="46" t="n">
        <x:v>70</x:v>
      </x:c>
      <x:c r="M154" s="46"/>
      <x:c r="N154" s="46"/>
      <x:c r="O154" s="14"/>
      <x:c r="P154" s="14" t="str">
        <x:v>D+3</x:v>
      </x:c>
      <x:c r="Q154" s="14" t="str">
        <x:v>seg/qua/sex ou seg a sext; revisar</x:v>
      </x:c>
      <x:c r="R154" s="14" t="str">
        <x:v>ORIGINAL</x:v>
      </x:c>
      <x:c r="S154" s="14" t="str">
        <x:v>NÃO</x:v>
      </x:c>
      <x:c r="T154" s="14" t="str">
        <x:v>REVISAR_OK</x:v>
      </x:c>
      <x:c r="U154" s="14" t="str">
        <x:v>doc20620920260704143119.pdf</x:v>
      </x:c>
      <x:c r="V154" s="14" t="str">
        <x:v>1</x:v>
      </x:c>
      <x:c r="W154" s="14"/>
      <x:c r="X154"/>
      <x:c r="Y154"/>
      <x:c r="Z154"/>
      <x:c r="AA154"/>
      <x:c r="AB154"/>
      <x:c r="AC154" t="str">
        <x:v>SIM</x:v>
      </x:c>
      <x:c r="AD154" t="str">
        <x:v>E&amp;M</x:v>
      </x:c>
      <x:c r="AE154" s="12" t="str">
        <x:v>PERCENTUAL</x:v>
      </x:c>
      <x:c r="AF154" s="12"/>
      <x:c r="AG154" s="12" t="str">
        <x:v>2.6.44</x:v>
      </x:c>
      <x:c r="AH154" s="12" t="str">
        <x:v>Frete base × percentual; aplicar frete mínimo quando maior. Bloco percentual ativado; controle visual passivo.</x:v>
      </x:c>
      <x:c r="AI154"/>
    </x:row>
    <x:row r="155">
      <x:c r="A155" s="14" t="str">
        <x:v>EM_0154</x:v>
      </x:c>
      <x:c r="B155" s="14" t="str">
        <x:v>EM</x:v>
      </x:c>
      <x:c r="C155" s="14"/>
      <x:c r="D155" s="14"/>
      <x:c r="E155" s="14" t="str">
        <x:v>Paragominas</x:v>
      </x:c>
      <x:c r="F155" s="14" t="str">
        <x:v>PA</x:v>
      </x:c>
      <x:c r="G155" s="14" t="str">
        <x:v>Irituia</x:v>
      </x:c>
      <x:c r="H155" s="14" t="str">
        <x:v>PA</x:v>
      </x:c>
      <x:c r="I155" s="14" t="str">
        <x:v>PARAGOMINAS</x:v>
      </x:c>
      <x:c r="J155" s="14"/>
      <x:c r="K155" s="14" t="str">
        <x:v>20%</x:v>
      </x:c>
      <x:c r="L155" s="46" t="n">
        <x:v>70</x:v>
      </x:c>
      <x:c r="M155" s="46"/>
      <x:c r="N155" s="46"/>
      <x:c r="O155" s="14"/>
      <x:c r="P155" s="14" t="str">
        <x:v>D+2</x:v>
      </x:c>
      <x:c r="Q155" s="14" t="str">
        <x:v>seg/qua/sex ou seg a sext; revisar</x:v>
      </x:c>
      <x:c r="R155" s="14" t="str">
        <x:v>ORIGINAL</x:v>
      </x:c>
      <x:c r="S155" s="14" t="str">
        <x:v>NÃO</x:v>
      </x:c>
      <x:c r="T155" s="14" t="str">
        <x:v>REVISAR_OK</x:v>
      </x:c>
      <x:c r="U155" s="14" t="str">
        <x:v>doc20620920260704143119.pdf</x:v>
      </x:c>
      <x:c r="V155" s="14" t="str">
        <x:v>1</x:v>
      </x:c>
      <x:c r="W155" s="14"/>
      <x:c r="X155"/>
      <x:c r="Y155"/>
      <x:c r="Z155"/>
      <x:c r="AA155"/>
      <x:c r="AB155"/>
      <x:c r="AC155" t="str">
        <x:v>SIM</x:v>
      </x:c>
      <x:c r="AD155" t="str">
        <x:v>E&amp;M</x:v>
      </x:c>
      <x:c r="AE155" s="12" t="str">
        <x:v>PERCENTUAL</x:v>
      </x:c>
      <x:c r="AF155" s="12"/>
      <x:c r="AG155" s="12" t="str">
        <x:v>2.6.44</x:v>
      </x:c>
      <x:c r="AH155" s="12" t="str">
        <x:v>Frete base × percentual; aplicar frete mínimo quando maior. Bloco percentual ativado; controle visual passivo.</x:v>
      </x:c>
      <x:c r="AI155"/>
    </x:row>
    <x:row r="156">
      <x:c r="A156" s="14" t="str">
        <x:v>EM_0155</x:v>
      </x:c>
      <x:c r="B156" s="14" t="str">
        <x:v>EM</x:v>
      </x:c>
      <x:c r="C156" s="14"/>
      <x:c r="D156" s="14"/>
      <x:c r="E156" s="14" t="str">
        <x:v>Paragominas</x:v>
      </x:c>
      <x:c r="F156" s="14" t="str">
        <x:v>PA</x:v>
      </x:c>
      <x:c r="G156" s="14" t="str">
        <x:v>Tomé Açu</x:v>
      </x:c>
      <x:c r="H156" s="14" t="str">
        <x:v>PA</x:v>
      </x:c>
      <x:c r="I156" s="14" t="str">
        <x:v>PARAGOMINAS</x:v>
      </x:c>
      <x:c r="J156" s="14"/>
      <x:c r="K156" s="14" t="str">
        <x:v>20%</x:v>
      </x:c>
      <x:c r="L156" s="46" t="n">
        <x:v>70</x:v>
      </x:c>
      <x:c r="M156" s="46"/>
      <x:c r="N156" s="46"/>
      <x:c r="O156" s="14"/>
      <x:c r="P156" s="14" t="str">
        <x:v>D+3</x:v>
      </x:c>
      <x:c r="Q156" s="14" t="str">
        <x:v>seg/qua/sex ou seg a sext; revisar</x:v>
      </x:c>
      <x:c r="R156" s="14" t="str">
        <x:v>ORIGINAL</x:v>
      </x:c>
      <x:c r="S156" s="14" t="str">
        <x:v>NÃO</x:v>
      </x:c>
      <x:c r="T156" s="14" t="str">
        <x:v>REVISAR_OK</x:v>
      </x:c>
      <x:c r="U156" s="14" t="str">
        <x:v>doc20620920260704143119.pdf</x:v>
      </x:c>
      <x:c r="V156" s="14" t="str">
        <x:v>1</x:v>
      </x:c>
      <x:c r="W156" s="14"/>
      <x:c r="X156"/>
      <x:c r="Y156"/>
      <x:c r="Z156"/>
      <x:c r="AA156"/>
      <x:c r="AB156"/>
      <x:c r="AC156" t="str">
        <x:v>SIM</x:v>
      </x:c>
      <x:c r="AD156" t="str">
        <x:v>E&amp;M</x:v>
      </x:c>
      <x:c r="AE156" s="12" t="str">
        <x:v>PERCENTUAL</x:v>
      </x:c>
      <x:c r="AF156" s="12"/>
      <x:c r="AG156" s="12" t="str">
        <x:v>2.6.44</x:v>
      </x:c>
      <x:c r="AH156" s="12" t="str">
        <x:v>Frete base × percentual; aplicar frete mínimo quando maior. Bloco percentual ativado; controle visual passivo.</x:v>
      </x:c>
      <x:c r="AI156"/>
    </x:row>
    <x:row r="157">
      <x:c r="A157" s="14" t="str">
        <x:v>EM_0156</x:v>
      </x:c>
      <x:c r="B157" s="14" t="str">
        <x:v>EM</x:v>
      </x:c>
      <x:c r="C157" s="14"/>
      <x:c r="D157" s="14"/>
      <x:c r="E157" s="14" t="str">
        <x:v>Paragominas</x:v>
      </x:c>
      <x:c r="F157" s="14" t="str">
        <x:v>PA</x:v>
      </x:c>
      <x:c r="G157" s="14" t="str">
        <x:v>4 Bocas</x:v>
      </x:c>
      <x:c r="H157" s="14" t="str">
        <x:v>PA</x:v>
      </x:c>
      <x:c r="I157" s="14" t="str">
        <x:v>PARAGOMINAS</x:v>
      </x:c>
      <x:c r="J157" s="14"/>
      <x:c r="K157" s="14" t="str">
        <x:v>20%</x:v>
      </x:c>
      <x:c r="L157" s="46" t="n">
        <x:v>70</x:v>
      </x:c>
      <x:c r="M157" s="46"/>
      <x:c r="N157" s="46"/>
      <x:c r="O157" s="14"/>
      <x:c r="P157" s="14" t="str">
        <x:v>D+3</x:v>
      </x:c>
      <x:c r="Q157" s="14" t="str">
        <x:v>seg/qua/sex ou seg a sext; revisar</x:v>
      </x:c>
      <x:c r="R157" s="14" t="str">
        <x:v>ORIGINAL</x:v>
      </x:c>
      <x:c r="S157" s="14" t="str">
        <x:v>NÃO</x:v>
      </x:c>
      <x:c r="T157" s="14" t="str">
        <x:v>REVISAR_OK</x:v>
      </x:c>
      <x:c r="U157" s="14" t="str">
        <x:v>doc20620920260704143119.pdf</x:v>
      </x:c>
      <x:c r="V157" s="14" t="str">
        <x:v>1</x:v>
      </x:c>
      <x:c r="W157" s="14"/>
      <x:c r="X157"/>
      <x:c r="Y157"/>
      <x:c r="Z157"/>
      <x:c r="AA157"/>
      <x:c r="AB157"/>
      <x:c r="AC157" t="str">
        <x:v>SIM</x:v>
      </x:c>
      <x:c r="AD157" t="str">
        <x:v>E&amp;M</x:v>
      </x:c>
      <x:c r="AE157" s="12" t="str">
        <x:v>PERCENTUAL</x:v>
      </x:c>
      <x:c r="AF157" s="12"/>
      <x:c r="AG157" s="12" t="str">
        <x:v>2.6.44</x:v>
      </x:c>
      <x:c r="AH157" s="12" t="str">
        <x:v>Frete base × percentual; aplicar frete mínimo quando maior. Bloco percentual ativado; controle visual passivo.</x:v>
      </x:c>
      <x:c r="AI157"/>
    </x:row>
    <x:row r="158">
      <x:c r="A158" s="14" t="str">
        <x:v>EM_0157</x:v>
      </x:c>
      <x:c r="B158" s="14" t="str">
        <x:v>EM</x:v>
      </x:c>
      <x:c r="C158" s="14"/>
      <x:c r="D158" s="14"/>
      <x:c r="E158" s="14" t="str">
        <x:v>Paragominas</x:v>
      </x:c>
      <x:c r="F158" s="14" t="str">
        <x:v>PA</x:v>
      </x:c>
      <x:c r="G158" s="14" t="str">
        <x:v>Bom Jesus do Tocantins</x:v>
      </x:c>
      <x:c r="H158" s="14" t="str">
        <x:v>PA</x:v>
      </x:c>
      <x:c r="I158" s="14" t="str">
        <x:v>PARAGOMINAS</x:v>
      </x:c>
      <x:c r="J158" s="14"/>
      <x:c r="K158" s="14" t="str">
        <x:v>28%</x:v>
      </x:c>
      <x:c r="L158" s="46" t="n">
        <x:v>50</x:v>
      </x:c>
      <x:c r="M158" s="46"/>
      <x:c r="N158" s="46"/>
      <x:c r="O158" s="14"/>
      <x:c r="P158" s="14" t="str">
        <x:v>D+2</x:v>
      </x:c>
      <x:c r="Q158" s="14" t="str">
        <x:v>seg/qua/sex ou seg a sext; revisar</x:v>
      </x:c>
      <x:c r="R158" s="14" t="str">
        <x:v>ORIGINAL</x:v>
      </x:c>
      <x:c r="S158" s="14" t="str">
        <x:v>NÃO</x:v>
      </x:c>
      <x:c r="T158" s="14" t="str">
        <x:v>REVISAR_OK</x:v>
      </x:c>
      <x:c r="U158" s="14" t="str">
        <x:v>doc20620920260704143119.pdf</x:v>
      </x:c>
      <x:c r="V158" s="14" t="str">
        <x:v>1</x:v>
      </x:c>
      <x:c r="W158" s="14"/>
      <x:c r="X158"/>
      <x:c r="Y158"/>
      <x:c r="Z158"/>
      <x:c r="AA158"/>
      <x:c r="AB158"/>
      <x:c r="AC158" t="str">
        <x:v>SIM</x:v>
      </x:c>
      <x:c r="AD158" t="str">
        <x:v>E&amp;M</x:v>
      </x:c>
      <x:c r="AE158" s="12" t="str">
        <x:v>PERCENTUAL</x:v>
      </x:c>
      <x:c r="AF158" s="12"/>
      <x:c r="AG158" s="12" t="str">
        <x:v>2.6.44</x:v>
      </x:c>
      <x:c r="AH158" s="12" t="str">
        <x:v>Frete base × percentual; aplicar frete mínimo quando maior. Bloco percentual ativado; controle visual passivo.</x:v>
      </x:c>
      <x:c r="AI158"/>
    </x:row>
    <x:row r="159">
      <x:c r="A159" s="14" t="str">
        <x:v>EM_0158</x:v>
      </x:c>
      <x:c r="B159" s="14" t="str">
        <x:v>EM</x:v>
      </x:c>
      <x:c r="C159" s="14"/>
      <x:c r="D159" s="14"/>
      <x:c r="E159" s="14" t="str">
        <x:v>Paragominas</x:v>
      </x:c>
      <x:c r="F159" s="14" t="str">
        <x:v>PA</x:v>
      </x:c>
      <x:c r="G159" s="14" t="str">
        <x:v>Abel Figueiredo</x:v>
      </x:c>
      <x:c r="H159" s="14" t="str">
        <x:v>PA</x:v>
      </x:c>
      <x:c r="I159" s="14" t="str">
        <x:v>PARAGOMINAS</x:v>
      </x:c>
      <x:c r="J159" s="14"/>
      <x:c r="K159" s="14" t="str">
        <x:v>25%</x:v>
      </x:c>
      <x:c r="L159" s="46" t="n">
        <x:v>50</x:v>
      </x:c>
      <x:c r="M159" s="46"/>
      <x:c r="N159" s="46"/>
      <x:c r="O159" s="14"/>
      <x:c r="P159" s="14" t="str">
        <x:v>D+2</x:v>
      </x:c>
      <x:c r="Q159" s="14" t="str">
        <x:v>seg/qua/sex ou seg a sext; revisar</x:v>
      </x:c>
      <x:c r="R159" s="14" t="str">
        <x:v>ORIGINAL</x:v>
      </x:c>
      <x:c r="S159" s="14" t="str">
        <x:v>NÃO</x:v>
      </x:c>
      <x:c r="T159" s="14" t="str">
        <x:v>REVISAR_OK</x:v>
      </x:c>
      <x:c r="U159" s="14" t="str">
        <x:v>doc20620920260704143119.pdf</x:v>
      </x:c>
      <x:c r="V159" s="14" t="str">
        <x:v>1</x:v>
      </x:c>
      <x:c r="W159" s="14"/>
      <x:c r="X159"/>
      <x:c r="Y159"/>
      <x:c r="Z159"/>
      <x:c r="AA159"/>
      <x:c r="AB159"/>
      <x:c r="AC159" t="str">
        <x:v>SIM</x:v>
      </x:c>
      <x:c r="AD159" t="str">
        <x:v>E&amp;M</x:v>
      </x:c>
      <x:c r="AE159" s="12" t="str">
        <x:v>PERCENTUAL</x:v>
      </x:c>
      <x:c r="AF159" s="12"/>
      <x:c r="AG159" s="12" t="str">
        <x:v>2.6.44</x:v>
      </x:c>
      <x:c r="AH159" s="12" t="str">
        <x:v>Frete base × percentual; aplicar frete mínimo quando maior. Bloco percentual ativado; controle visual passivo.</x:v>
      </x:c>
      <x:c r="AI159"/>
    </x:row>
    <x:row r="160">
      <x:c r="A160" s="14" t="str">
        <x:v>EM_0159</x:v>
      </x:c>
      <x:c r="B160" s="14" t="str">
        <x:v>EM</x:v>
      </x:c>
      <x:c r="C160" s="14"/>
      <x:c r="D160" s="14"/>
      <x:c r="E160" s="14" t="str">
        <x:v>Paragominas</x:v>
      </x:c>
      <x:c r="F160" s="14" t="str">
        <x:v>PA</x:v>
      </x:c>
      <x:c r="G160" s="14" t="str">
        <x:v>Rondon do Pará</x:v>
      </x:c>
      <x:c r="H160" s="14" t="str">
        <x:v>PA</x:v>
      </x:c>
      <x:c r="I160" s="14" t="str">
        <x:v>PARAGOMINAS</x:v>
      </x:c>
      <x:c r="J160" s="14"/>
      <x:c r="K160" s="14" t="str">
        <x:v>20%</x:v>
      </x:c>
      <x:c r="L160" s="46" t="n">
        <x:v>50</x:v>
      </x:c>
      <x:c r="M160" s="46"/>
      <x:c r="N160" s="46"/>
      <x:c r="O160" s="14"/>
      <x:c r="P160" s="14" t="str">
        <x:v>D+2</x:v>
      </x:c>
      <x:c r="Q160" s="14" t="str">
        <x:v>seg/qua/sex ou seg a sext; revisar</x:v>
      </x:c>
      <x:c r="R160" s="14" t="str">
        <x:v>ORIGINAL</x:v>
      </x:c>
      <x:c r="S160" s="14" t="str">
        <x:v>NÃO</x:v>
      </x:c>
      <x:c r="T160" s="14" t="str">
        <x:v>REVISAR_OK</x:v>
      </x:c>
      <x:c r="U160" s="14" t="str">
        <x:v>doc20620920260704143119.pdf</x:v>
      </x:c>
      <x:c r="V160" s="14" t="str">
        <x:v>1</x:v>
      </x:c>
      <x:c r="W160" s="14"/>
      <x:c r="X160"/>
      <x:c r="Y160"/>
      <x:c r="Z160"/>
      <x:c r="AA160"/>
      <x:c r="AB160"/>
      <x:c r="AC160" t="str">
        <x:v>SIM</x:v>
      </x:c>
      <x:c r="AD160" t="str">
        <x:v>E&amp;M</x:v>
      </x:c>
      <x:c r="AE160" s="12" t="str">
        <x:v>PERCENTUAL</x:v>
      </x:c>
      <x:c r="AF160" s="12"/>
      <x:c r="AG160" s="12" t="str">
        <x:v>2.6.44</x:v>
      </x:c>
      <x:c r="AH160" s="12" t="str">
        <x:v>Frete base × percentual; aplicar frete mínimo quando maior. Bloco percentual ativado; controle visual passivo.</x:v>
      </x:c>
      <x:c r="AI160"/>
    </x:row>
    <x:row r="161">
      <x:c r="A161" s="14" t="str">
        <x:v>EM_0160</x:v>
      </x:c>
      <x:c r="B161" s="14" t="str">
        <x:v>EM</x:v>
      </x:c>
      <x:c r="C161" s="14"/>
      <x:c r="D161" s="14"/>
      <x:c r="E161" s="14" t="str">
        <x:v>Paragominas</x:v>
      </x:c>
      <x:c r="F161" s="14" t="str">
        <x:v>PA</x:v>
      </x:c>
      <x:c r="G161" s="14" t="str">
        <x:v>Dom Eliseu</x:v>
      </x:c>
      <x:c r="H161" s="14" t="str">
        <x:v>PA</x:v>
      </x:c>
      <x:c r="I161" s="14" t="str">
        <x:v>PARAGOMINAS</x:v>
      </x:c>
      <x:c r="J161" s="14"/>
      <x:c r="K161" s="14" t="str">
        <x:v>20%</x:v>
      </x:c>
      <x:c r="L161" s="46" t="n">
        <x:v>50</x:v>
      </x:c>
      <x:c r="M161" s="46"/>
      <x:c r="N161" s="46"/>
      <x:c r="O161" s="14"/>
      <x:c r="P161" s="14" t="str">
        <x:v>D+2</x:v>
      </x:c>
      <x:c r="Q161" s="14" t="str">
        <x:v>seg/qua/sex ou seg a sext; revisar</x:v>
      </x:c>
      <x:c r="R161" s="14" t="str">
        <x:v>ORIGINAL</x:v>
      </x:c>
      <x:c r="S161" s="14" t="str">
        <x:v>NÃO</x:v>
      </x:c>
      <x:c r="T161" s="14" t="str">
        <x:v>REVISAR_OK</x:v>
      </x:c>
      <x:c r="U161" s="14" t="str">
        <x:v>doc20620920260704143119.pdf</x:v>
      </x:c>
      <x:c r="V161" s="14" t="str">
        <x:v>1</x:v>
      </x:c>
      <x:c r="W161" s="14"/>
      <x:c r="X161"/>
      <x:c r="Y161"/>
      <x:c r="Z161"/>
      <x:c r="AA161"/>
      <x:c r="AB161"/>
      <x:c r="AC161" t="str">
        <x:v>SIM</x:v>
      </x:c>
      <x:c r="AD161" t="str">
        <x:v>E&amp;M</x:v>
      </x:c>
      <x:c r="AE161" s="12" t="str">
        <x:v>PERCENTUAL</x:v>
      </x:c>
      <x:c r="AF161" s="12"/>
      <x:c r="AG161" s="12" t="str">
        <x:v>2.6.44</x:v>
      </x:c>
      <x:c r="AH161" s="12" t="str">
        <x:v>Frete base × percentual; aplicar frete mínimo quando maior. Bloco percentual ativado; controle visual passivo.</x:v>
      </x:c>
      <x:c r="AI161"/>
    </x:row>
    <x:row r="162">
      <x:c r="A162" s="14" t="str">
        <x:v>EM_0161</x:v>
      </x:c>
      <x:c r="B162" s="14" t="str">
        <x:v>EM</x:v>
      </x:c>
      <x:c r="C162" s="14"/>
      <x:c r="D162" s="14"/>
      <x:c r="E162" s="14" t="str">
        <x:v>Paragominas</x:v>
      </x:c>
      <x:c r="F162" s="14" t="str">
        <x:v>PA</x:v>
      </x:c>
      <x:c r="G162" s="14" t="str">
        <x:v>Ulianópolis</x:v>
      </x:c>
      <x:c r="H162" s="14" t="str">
        <x:v>PA</x:v>
      </x:c>
      <x:c r="I162" s="14" t="str">
        <x:v>PARAGOMINAS</x:v>
      </x:c>
      <x:c r="J162" s="14"/>
      <x:c r="K162" s="14" t="str">
        <x:v>20%</x:v>
      </x:c>
      <x:c r="L162" s="46" t="n">
        <x:v>50</x:v>
      </x:c>
      <x:c r="M162" s="46"/>
      <x:c r="N162" s="46"/>
      <x:c r="O162" s="14"/>
      <x:c r="P162" s="14" t="str">
        <x:v>D+2</x:v>
      </x:c>
      <x:c r="Q162" s="14" t="str">
        <x:v>seg/qua/sex ou seg a sext; revisar</x:v>
      </x:c>
      <x:c r="R162" s="14" t="str">
        <x:v>ORIGINAL</x:v>
      </x:c>
      <x:c r="S162" s="14" t="str">
        <x:v>NÃO</x:v>
      </x:c>
      <x:c r="T162" s="14" t="str">
        <x:v>REVISAR_OK</x:v>
      </x:c>
      <x:c r="U162" s="14" t="str">
        <x:v>doc20620920260704143119.pdf</x:v>
      </x:c>
      <x:c r="V162" s="14" t="str">
        <x:v>1</x:v>
      </x:c>
      <x:c r="W162" s="14"/>
      <x:c r="X162"/>
      <x:c r="Y162"/>
      <x:c r="Z162"/>
      <x:c r="AA162"/>
      <x:c r="AB162"/>
      <x:c r="AC162" t="str">
        <x:v>SIM</x:v>
      </x:c>
      <x:c r="AD162" t="str">
        <x:v>E&amp;M</x:v>
      </x:c>
      <x:c r="AE162" s="12" t="str">
        <x:v>PERCENTUAL</x:v>
      </x:c>
      <x:c r="AF162" s="12"/>
      <x:c r="AG162" s="12" t="str">
        <x:v>2.6.44</x:v>
      </x:c>
      <x:c r="AH162" s="12" t="str">
        <x:v>Frete base × percentual; aplicar frete mínimo quando maior. Bloco percentual ativado; controle visual passivo.</x:v>
      </x:c>
      <x:c r="AI162"/>
    </x:row>
    <x:row r="163">
      <x:c r="A163" s="14" t="str">
        <x:v>EM_0162</x:v>
      </x:c>
      <x:c r="B163" s="14" t="str">
        <x:v>EM</x:v>
      </x:c>
      <x:c r="C163" s="14"/>
      <x:c r="D163" s="14"/>
      <x:c r="E163" s="14" t="str">
        <x:v>Paragominas</x:v>
      </x:c>
      <x:c r="F163" s="14" t="str">
        <x:v>PA</x:v>
      </x:c>
      <x:c r="G163" s="14" t="str">
        <x:v>Vila Canaã</x:v>
      </x:c>
      <x:c r="H163" s="14" t="str">
        <x:v>PA</x:v>
      </x:c>
      <x:c r="I163" s="14" t="str">
        <x:v>PARAGOMINAS</x:v>
      </x:c>
      <x:c r="J163" s="14"/>
      <x:c r="K163" s="14" t="str">
        <x:v>20%</x:v>
      </x:c>
      <x:c r="L163" s="46" t="n">
        <x:v>60</x:v>
      </x:c>
      <x:c r="M163" s="46"/>
      <x:c r="N163" s="46"/>
      <x:c r="O163" s="14"/>
      <x:c r="P163" s="14" t="str">
        <x:v>D+3</x:v>
      </x:c>
      <x:c r="Q163" s="14" t="str">
        <x:v>seg/qua/sex ou seg a sext; revisar</x:v>
      </x:c>
      <x:c r="R163" s="14" t="str">
        <x:v>ORIGINAL</x:v>
      </x:c>
      <x:c r="S163" s="14" t="str">
        <x:v>NÃO</x:v>
      </x:c>
      <x:c r="T163" s="14" t="str">
        <x:v>REVISAR_OK</x:v>
      </x:c>
      <x:c r="U163" s="14" t="str">
        <x:v>doc20620920260704143119.pdf</x:v>
      </x:c>
      <x:c r="V163" s="14" t="str">
        <x:v>1</x:v>
      </x:c>
      <x:c r="W163" s="14"/>
      <x:c r="X163"/>
      <x:c r="Y163"/>
      <x:c r="Z163"/>
      <x:c r="AA163"/>
      <x:c r="AB163"/>
      <x:c r="AC163" t="str">
        <x:v>SIM</x:v>
      </x:c>
      <x:c r="AD163" t="str">
        <x:v>E&amp;M</x:v>
      </x:c>
      <x:c r="AE163" s="12" t="str">
        <x:v>PERCENTUAL</x:v>
      </x:c>
      <x:c r="AF163" s="12"/>
      <x:c r="AG163" s="12" t="str">
        <x:v>2.6.44</x:v>
      </x:c>
      <x:c r="AH163" s="12" t="str">
        <x:v>Frete base × percentual; aplicar frete mínimo quando maior. Bloco percentual ativado; controle visual passivo.</x:v>
      </x:c>
      <x:c r="AI163"/>
    </x:row>
    <x:row r="164">
      <x:c r="A164" s="14" t="str">
        <x:v>EM_0163</x:v>
      </x:c>
      <x:c r="B164" s="14" t="str">
        <x:v>EM</x:v>
      </x:c>
      <x:c r="C164" s="14"/>
      <x:c r="D164" s="14"/>
      <x:c r="E164" s="14" t="str">
        <x:v>Paragominas</x:v>
      </x:c>
      <x:c r="F164" s="14" t="str">
        <x:v>PA</x:v>
      </x:c>
      <x:c r="G164" s="14" t="str">
        <x:v>Ipixuna</x:v>
      </x:c>
      <x:c r="H164" s="14" t="str">
        <x:v>PA</x:v>
      </x:c>
      <x:c r="I164" s="14" t="str">
        <x:v>PARAGOMINAS</x:v>
      </x:c>
      <x:c r="J164" s="14"/>
      <x:c r="K164" s="14" t="str">
        <x:v>20%</x:v>
      </x:c>
      <x:c r="L164" s="46" t="n">
        <x:v>60</x:v>
      </x:c>
      <x:c r="M164" s="46"/>
      <x:c r="N164" s="46"/>
      <x:c r="O164" s="14"/>
      <x:c r="P164" s="14" t="str">
        <x:v>D+2</x:v>
      </x:c>
      <x:c r="Q164" s="14" t="str">
        <x:v>seg/qua/sex ou seg a sext; revisar</x:v>
      </x:c>
      <x:c r="R164" s="14" t="str">
        <x:v>ORIGINAL</x:v>
      </x:c>
      <x:c r="S164" s="14" t="str">
        <x:v>NÃO</x:v>
      </x:c>
      <x:c r="T164" s="14" t="str">
        <x:v>REVISAR_OK</x:v>
      </x:c>
      <x:c r="U164" s="14" t="str">
        <x:v>doc20620920260704143119.pdf</x:v>
      </x:c>
      <x:c r="V164" s="14" t="str">
        <x:v>1</x:v>
      </x:c>
      <x:c r="W164" s="14"/>
      <x:c r="X164"/>
      <x:c r="Y164"/>
      <x:c r="Z164"/>
      <x:c r="AA164"/>
      <x:c r="AB164"/>
      <x:c r="AC164" t="str">
        <x:v>SIM</x:v>
      </x:c>
      <x:c r="AD164" t="str">
        <x:v>E&amp;M</x:v>
      </x:c>
      <x:c r="AE164" s="12" t="str">
        <x:v>PERCENTUAL</x:v>
      </x:c>
      <x:c r="AF164" s="12"/>
      <x:c r="AG164" s="12" t="str">
        <x:v>2.6.44</x:v>
      </x:c>
      <x:c r="AH164" s="12" t="str">
        <x:v>Frete base × percentual; aplicar frete mínimo quando maior. Bloco percentual ativado; controle visual passivo.</x:v>
      </x:c>
      <x:c r="AI164"/>
    </x:row>
    <x:row r="165">
      <x:c r="A165" s="14" t="str">
        <x:v>EM_0164</x:v>
      </x:c>
      <x:c r="B165" s="14" t="str">
        <x:v>EM</x:v>
      </x:c>
      <x:c r="C165" s="14"/>
      <x:c r="D165" s="14"/>
      <x:c r="E165" s="14" t="str">
        <x:v>Paragominas</x:v>
      </x:c>
      <x:c r="F165" s="14" t="str">
        <x:v>PA</x:v>
      </x:c>
      <x:c r="G165" s="14" t="str">
        <x:v>Aurora do Pará</x:v>
      </x:c>
      <x:c r="H165" s="14" t="str">
        <x:v>PA</x:v>
      </x:c>
      <x:c r="I165" s="14" t="str">
        <x:v>PARAGOMINAS</x:v>
      </x:c>
      <x:c r="J165" s="14"/>
      <x:c r="K165" s="14" t="str">
        <x:v>25%</x:v>
      </x:c>
      <x:c r="L165" s="46" t="n">
        <x:v>60</x:v>
      </x:c>
      <x:c r="M165" s="46"/>
      <x:c r="N165" s="46"/>
      <x:c r="O165" s="14"/>
      <x:c r="P165" s="14" t="str">
        <x:v>D+2</x:v>
      </x:c>
      <x:c r="Q165" s="14" t="str">
        <x:v>seg/qua/sex ou seg a sext; revisar</x:v>
      </x:c>
      <x:c r="R165" s="14" t="str">
        <x:v>ORIGINAL</x:v>
      </x:c>
      <x:c r="S165" s="14" t="str">
        <x:v>NÃO</x:v>
      </x:c>
      <x:c r="T165" s="14" t="str">
        <x:v>REVISAR_OK</x:v>
      </x:c>
      <x:c r="U165" s="14" t="str">
        <x:v>doc20620920260704143119.pdf</x:v>
      </x:c>
      <x:c r="V165" s="14" t="str">
        <x:v>1</x:v>
      </x:c>
      <x:c r="W165" s="14"/>
      <x:c r="X165"/>
      <x:c r="Y165"/>
      <x:c r="Z165"/>
      <x:c r="AA165"/>
      <x:c r="AB165"/>
      <x:c r="AC165" t="str">
        <x:v>SIM</x:v>
      </x:c>
      <x:c r="AD165" t="str">
        <x:v>E&amp;M</x:v>
      </x:c>
      <x:c r="AE165" s="12" t="str">
        <x:v>PERCENTUAL</x:v>
      </x:c>
      <x:c r="AF165" s="12"/>
      <x:c r="AG165" s="12" t="str">
        <x:v>2.6.44</x:v>
      </x:c>
      <x:c r="AH165" s="12" t="str">
        <x:v>Frete base × percentual; aplicar frete mínimo quando maior. Bloco percentual ativado; controle visual passivo.</x:v>
      </x:c>
      <x:c r="AI165"/>
    </x:row>
    <x:row r="166">
      <x:c r="A166" s="14" t="str">
        <x:v>EM_0165</x:v>
      </x:c>
      <x:c r="B166" s="14" t="str">
        <x:v>EM</x:v>
      </x:c>
      <x:c r="C166" s="14"/>
      <x:c r="D166" s="14"/>
      <x:c r="E166" s="14" t="str">
        <x:v>Paragominas</x:v>
      </x:c>
      <x:c r="F166" s="14" t="str">
        <x:v>PA</x:v>
      </x:c>
      <x:c r="G166" s="14" t="str">
        <x:v>Mãe do Rio</x:v>
      </x:c>
      <x:c r="H166" s="14" t="str">
        <x:v>PA</x:v>
      </x:c>
      <x:c r="I166" s="14" t="str">
        <x:v>PARAGOMINAS</x:v>
      </x:c>
      <x:c r="J166" s="14"/>
      <x:c r="K166" s="14" t="str">
        <x:v>20%</x:v>
      </x:c>
      <x:c r="L166" s="46" t="n">
        <x:v>70</x:v>
      </x:c>
      <x:c r="M166" s="46"/>
      <x:c r="N166" s="46"/>
      <x:c r="O166" s="14"/>
      <x:c r="P166" s="14" t="str">
        <x:v>D+2</x:v>
      </x:c>
      <x:c r="Q166" s="14" t="str">
        <x:v>seg/qua/sex ou seg a sext; revisar</x:v>
      </x:c>
      <x:c r="R166" s="14" t="str">
        <x:v>ORIGINAL</x:v>
      </x:c>
      <x:c r="S166" s="14" t="str">
        <x:v>NÃO</x:v>
      </x:c>
      <x:c r="T166" s="14" t="str">
        <x:v>REVISAR_OK</x:v>
      </x:c>
      <x:c r="U166" s="14" t="str">
        <x:v>doc20620920260704143119.pdf</x:v>
      </x:c>
      <x:c r="V166" s="14" t="str">
        <x:v>1</x:v>
      </x:c>
      <x:c r="W166" s="14"/>
      <x:c r="X166"/>
      <x:c r="Y166"/>
      <x:c r="Z166"/>
      <x:c r="AA166"/>
      <x:c r="AB166"/>
      <x:c r="AC166" t="str">
        <x:v>SIM</x:v>
      </x:c>
      <x:c r="AD166" t="str">
        <x:v>E&amp;M</x:v>
      </x:c>
      <x:c r="AE166" s="12" t="str">
        <x:v>PERCENTUAL</x:v>
      </x:c>
      <x:c r="AF166" s="12"/>
      <x:c r="AG166" s="12" t="str">
        <x:v>2.6.44</x:v>
      </x:c>
      <x:c r="AH166" s="12" t="str">
        <x:v>Frete base × percentual; aplicar frete mínimo quando maior. Bloco percentual ativado; controle visual passivo.</x:v>
      </x:c>
      <x:c r="AI166"/>
    </x:row>
    <x:row r="167">
      <x:c r="A167" s="14" t="str">
        <x:v>EM_0166</x:v>
      </x:c>
      <x:c r="B167" s="14" t="str">
        <x:v>EM</x:v>
      </x:c>
      <x:c r="C167" s="14"/>
      <x:c r="D167" s="14"/>
      <x:c r="E167" s="14" t="str">
        <x:v>Paragominas</x:v>
      </x:c>
      <x:c r="F167" s="14" t="str">
        <x:v>PA</x:v>
      </x:c>
      <x:c r="G167" s="14" t="str">
        <x:v>São Miguel</x:v>
      </x:c>
      <x:c r="H167" s="14" t="str">
        <x:v>PA</x:v>
      </x:c>
      <x:c r="I167" s="14" t="str">
        <x:v>PARAGOMINAS</x:v>
      </x:c>
      <x:c r="J167" s="14"/>
      <x:c r="K167" s="14" t="str">
        <x:v>28%</x:v>
      </x:c>
      <x:c r="L167" s="46" t="n">
        <x:v>70</x:v>
      </x:c>
      <x:c r="M167" s="46"/>
      <x:c r="N167" s="46"/>
      <x:c r="O167" s="14"/>
      <x:c r="P167" s="14" t="str">
        <x:v>D+2</x:v>
      </x:c>
      <x:c r="Q167" s="14" t="str">
        <x:v>seg/qua/sex ou seg a sext; revisar</x:v>
      </x:c>
      <x:c r="R167" s="14" t="str">
        <x:v>ORIGINAL</x:v>
      </x:c>
      <x:c r="S167" s="14" t="str">
        <x:v>NÃO</x:v>
      </x:c>
      <x:c r="T167" s="14" t="str">
        <x:v>REVISAR_OK</x:v>
      </x:c>
      <x:c r="U167" s="14" t="str">
        <x:v>doc20620920260704143119.pdf</x:v>
      </x:c>
      <x:c r="V167" s="14" t="str">
        <x:v>1</x:v>
      </x:c>
      <x:c r="W167" s="14"/>
      <x:c r="X167"/>
      <x:c r="Y167"/>
      <x:c r="Z167"/>
      <x:c r="AA167"/>
      <x:c r="AB167"/>
      <x:c r="AC167" t="str">
        <x:v>SIM</x:v>
      </x:c>
      <x:c r="AD167" t="str">
        <x:v>E&amp;M</x:v>
      </x:c>
      <x:c r="AE167" s="12" t="str">
        <x:v>PERCENTUAL</x:v>
      </x:c>
      <x:c r="AF167" s="12"/>
      <x:c r="AG167" s="12" t="str">
        <x:v>2.6.44</x:v>
      </x:c>
      <x:c r="AH167" s="12" t="str">
        <x:v>Frete base × percentual; aplicar frete mínimo quando maior. Bloco percentual ativado; controle visual passivo.</x:v>
      </x:c>
      <x:c r="AI167"/>
    </x:row>
    <x:row r="168">
      <x:c r="A168" s="14" t="str">
        <x:v>EM_0167</x:v>
      </x:c>
      <x:c r="B168" s="14" t="str">
        <x:v>EM</x:v>
      </x:c>
      <x:c r="C168" s="14"/>
      <x:c r="D168" s="14"/>
      <x:c r="E168" s="14" t="str">
        <x:v>Paragominas</x:v>
      </x:c>
      <x:c r="F168" s="14" t="str">
        <x:v>PA</x:v>
      </x:c>
      <x:c r="G168" s="14" t="str">
        <x:v>Santa Maria</x:v>
      </x:c>
      <x:c r="H168" s="14" t="str">
        <x:v>PA</x:v>
      </x:c>
      <x:c r="I168" s="14" t="str">
        <x:v>PARAGOMINAS</x:v>
      </x:c>
      <x:c r="J168" s="14"/>
      <x:c r="K168" s="14" t="str">
        <x:v>28%</x:v>
      </x:c>
      <x:c r="L168" s="46" t="n">
        <x:v>70</x:v>
      </x:c>
      <x:c r="M168" s="46"/>
      <x:c r="N168" s="46"/>
      <x:c r="O168" s="14"/>
      <x:c r="P168" s="14" t="str">
        <x:v>D+2</x:v>
      </x:c>
      <x:c r="Q168" s="14" t="str">
        <x:v>seg/qua/sex ou seg a sext; revisar</x:v>
      </x:c>
      <x:c r="R168" s="14" t="str">
        <x:v>ORIGINAL</x:v>
      </x:c>
      <x:c r="S168" s="14" t="str">
        <x:v>NÃO</x:v>
      </x:c>
      <x:c r="T168" s="14" t="str">
        <x:v>REVISAR_OK</x:v>
      </x:c>
      <x:c r="U168" s="14" t="str">
        <x:v>doc20620920260704143119.pdf</x:v>
      </x:c>
      <x:c r="V168" s="14" t="str">
        <x:v>1</x:v>
      </x:c>
      <x:c r="W168" s="14"/>
      <x:c r="X168"/>
      <x:c r="Y168"/>
      <x:c r="Z168"/>
      <x:c r="AA168"/>
      <x:c r="AB168"/>
      <x:c r="AC168" t="str">
        <x:v>SIM</x:v>
      </x:c>
      <x:c r="AD168" t="str">
        <x:v>E&amp;M</x:v>
      </x:c>
      <x:c r="AE168" s="12" t="str">
        <x:v>PERCENTUAL</x:v>
      </x:c>
      <x:c r="AF168" s="12"/>
      <x:c r="AG168" s="12" t="str">
        <x:v>2.6.44</x:v>
      </x:c>
      <x:c r="AH168" s="12" t="str">
        <x:v>Frete base × percentual; aplicar frete mínimo quando maior. Bloco percentual ativado; controle visual passivo.</x:v>
      </x:c>
      <x:c r="AI168"/>
    </x:row>
    <x:row r="169">
      <x:c r="A169" s="14" t="str">
        <x:v>EM_0168</x:v>
      </x:c>
      <x:c r="B169" s="14" t="str">
        <x:v>EM</x:v>
      </x:c>
      <x:c r="C169" s="14"/>
      <x:c r="D169" s="14"/>
      <x:c r="E169" s="14" t="str">
        <x:v>Paragominas</x:v>
      </x:c>
      <x:c r="F169" s="14" t="str">
        <x:v>PA</x:v>
      </x:c>
      <x:c r="G169" s="14" t="str">
        <x:v>Castanhal</x:v>
      </x:c>
      <x:c r="H169" s="14" t="str">
        <x:v>PA</x:v>
      </x:c>
      <x:c r="I169" s="14" t="str">
        <x:v>PARAGOMINAS</x:v>
      </x:c>
      <x:c r="J169" s="14"/>
      <x:c r="K169" s="14" t="str">
        <x:v>28%</x:v>
      </x:c>
      <x:c r="L169" s="46" t="n">
        <x:v>70</x:v>
      </x:c>
      <x:c r="M169" s="46"/>
      <x:c r="N169" s="46"/>
      <x:c r="O169" s="14"/>
      <x:c r="P169" s="14" t="str">
        <x:v>D+2</x:v>
      </x:c>
      <x:c r="Q169" s="14" t="str">
        <x:v>seg/qua/sex ou seg a sext; revisar</x:v>
      </x:c>
      <x:c r="R169" s="14" t="str">
        <x:v>ORIGINAL</x:v>
      </x:c>
      <x:c r="S169" s="14" t="str">
        <x:v>NÃO</x:v>
      </x:c>
      <x:c r="T169" s="14" t="str">
        <x:v>REVISAR_OK</x:v>
      </x:c>
      <x:c r="U169" s="14" t="str">
        <x:v>doc20620920260704143119.pdf</x:v>
      </x:c>
      <x:c r="V169" s="14" t="str">
        <x:v>1</x:v>
      </x:c>
      <x:c r="W169" s="14"/>
      <x:c r="X169"/>
      <x:c r="Y169"/>
      <x:c r="Z169"/>
      <x:c r="AA169"/>
      <x:c r="AB169"/>
      <x:c r="AC169" t="str">
        <x:v>SIM</x:v>
      </x:c>
      <x:c r="AD169" t="str">
        <x:v>E&amp;M</x:v>
      </x:c>
      <x:c r="AE169" s="12" t="str">
        <x:v>PERCENTUAL</x:v>
      </x:c>
      <x:c r="AF169" s="12"/>
      <x:c r="AG169" s="12" t="str">
        <x:v>2.6.44</x:v>
      </x:c>
      <x:c r="AH169" s="12" t="str">
        <x:v>Frete base × percentual; aplicar frete mínimo quando maior. Bloco percentual ativado; controle visual passivo.</x:v>
      </x:c>
      <x:c r="AI169"/>
    </x:row>
    <x:row r="170">
      <x:c r="A170" s="14" t="str">
        <x:v>EM_0169</x:v>
      </x:c>
      <x:c r="B170" s="14" t="str">
        <x:v>EM</x:v>
      </x:c>
      <x:c r="C170" s="14"/>
      <x:c r="D170" s="14"/>
      <x:c r="E170" s="14" t="str">
        <x:v>Paragominas</x:v>
      </x:c>
      <x:c r="F170" s="14" t="str">
        <x:v>PA</x:v>
      </x:c>
      <x:c r="G170" s="14" t="str">
        <x:v>Itinga/MA</x:v>
      </x:c>
      <x:c r="H170" s="14" t="str">
        <x:v>PA</x:v>
      </x:c>
      <x:c r="I170" s="14" t="str">
        <x:v>PARAGOMINAS</x:v>
      </x:c>
      <x:c r="J170" s="14"/>
      <x:c r="K170" s="14" t="str">
        <x:v>25%</x:v>
      </x:c>
      <x:c r="L170" s="46" t="n">
        <x:v>70</x:v>
      </x:c>
      <x:c r="M170" s="46"/>
      <x:c r="N170" s="46"/>
      <x:c r="O170" s="14"/>
      <x:c r="P170" s="14" t="str">
        <x:v>D+2</x:v>
      </x:c>
      <x:c r="Q170" s="14" t="str">
        <x:v>seg/qua/sex ou seg a sext; revisar</x:v>
      </x:c>
      <x:c r="R170" s="14" t="str">
        <x:v>ORIGINAL</x:v>
      </x:c>
      <x:c r="S170" s="14" t="str">
        <x:v>NÃO</x:v>
      </x:c>
      <x:c r="T170" s="14" t="str">
        <x:v>REVISAR_OK</x:v>
      </x:c>
      <x:c r="U170" s="14" t="str">
        <x:v>doc20620920260704143119.pdf</x:v>
      </x:c>
      <x:c r="V170" s="14" t="str">
        <x:v>1</x:v>
      </x:c>
      <x:c r="W170" s="14"/>
      <x:c r="X170"/>
      <x:c r="Y170"/>
      <x:c r="Z170"/>
      <x:c r="AA170"/>
      <x:c r="AB170"/>
      <x:c r="AC170" t="str">
        <x:v>SIM</x:v>
      </x:c>
      <x:c r="AD170" t="str">
        <x:v>E&amp;M</x:v>
      </x:c>
      <x:c r="AE170" s="12" t="str">
        <x:v>PERCENTUAL</x:v>
      </x:c>
      <x:c r="AF170" s="12"/>
      <x:c r="AG170" s="12" t="str">
        <x:v>2.6.44</x:v>
      </x:c>
      <x:c r="AH170" s="12" t="str">
        <x:v>Frete base × percentual; aplicar frete mínimo quando maior. Bloco percentual ativado; controle visual passivo.</x:v>
      </x:c>
      <x:c r="AI170"/>
    </x:row>
    <x:row r="171">
      <x:c r="A171" s="14" t="str">
        <x:v>EM_0170</x:v>
      </x:c>
      <x:c r="B171" s="14" t="str">
        <x:v>EM</x:v>
      </x:c>
      <x:c r="C171" s="14"/>
      <x:c r="D171" s="14"/>
      <x:c r="E171" s="14" t="str">
        <x:v>Paragominas</x:v>
      </x:c>
      <x:c r="F171" s="14" t="str">
        <x:v>PA</x:v>
      </x:c>
      <x:c r="G171" s="14" t="str">
        <x:v>Açailândia</x:v>
      </x:c>
      <x:c r="H171" s="14" t="str">
        <x:v>PA</x:v>
      </x:c>
      <x:c r="I171" s="14" t="str">
        <x:v>PARAGOMINAS</x:v>
      </x:c>
      <x:c r="J171" s="14"/>
      <x:c r="K171" s="14" t="str">
        <x:v>28%</x:v>
      </x:c>
      <x:c r="L171" s="46" t="n">
        <x:v>70</x:v>
      </x:c>
      <x:c r="M171" s="46"/>
      <x:c r="N171" s="46"/>
      <x:c r="O171" s="14"/>
      <x:c r="P171" s="14" t="str">
        <x:v>D+2</x:v>
      </x:c>
      <x:c r="Q171" s="14" t="str">
        <x:v>seg/qua/sex ou seg a sext; revisar</x:v>
      </x:c>
      <x:c r="R171" s="14" t="str">
        <x:v>ORIGINAL</x:v>
      </x:c>
      <x:c r="S171" s="14" t="str">
        <x:v>NÃO</x:v>
      </x:c>
      <x:c r="T171" s="14" t="str">
        <x:v>REVISAR_OK</x:v>
      </x:c>
      <x:c r="U171" s="14" t="str">
        <x:v>doc20620920260704143119.pdf</x:v>
      </x:c>
      <x:c r="V171" s="14" t="str">
        <x:v>1</x:v>
      </x:c>
      <x:c r="W171" s="14"/>
      <x:c r="X171"/>
      <x:c r="Y171"/>
      <x:c r="Z171"/>
      <x:c r="AA171"/>
      <x:c r="AB171"/>
      <x:c r="AC171" t="str">
        <x:v>SIM</x:v>
      </x:c>
      <x:c r="AD171" t="str">
        <x:v>E&amp;M</x:v>
      </x:c>
      <x:c r="AE171" s="12" t="str">
        <x:v>PERCENTUAL</x:v>
      </x:c>
      <x:c r="AF171" s="12"/>
      <x:c r="AG171" s="12" t="str">
        <x:v>2.6.44</x:v>
      </x:c>
      <x:c r="AH171" s="12" t="str">
        <x:v>Frete base × percentual; aplicar frete mínimo quando maior. Bloco percentual ativado; controle visual passivo.</x:v>
      </x:c>
      <x:c r="AI171"/>
    </x:row>
    <x:row r="172">
      <x:c r="A172" s="14" t="str">
        <x:v>EM_0171</x:v>
      </x:c>
      <x:c r="B172" s="14" t="str">
        <x:v>EM</x:v>
      </x:c>
      <x:c r="C172" s="14"/>
      <x:c r="D172" s="14"/>
      <x:c r="E172" s="14" t="str">
        <x:v>Paragominas</x:v>
      </x:c>
      <x:c r="F172" s="14" t="str">
        <x:v>PA</x:v>
      </x:c>
      <x:c r="G172" s="14" t="str">
        <x:v>Imperatriz</x:v>
      </x:c>
      <x:c r="H172" s="14" t="str">
        <x:v>PA</x:v>
      </x:c>
      <x:c r="I172" s="14" t="str">
        <x:v>PARAGOMINAS</x:v>
      </x:c>
      <x:c r="J172" s="14"/>
      <x:c r="K172" s="14" t="str">
        <x:v>28%</x:v>
      </x:c>
      <x:c r="L172" s="46" t="n">
        <x:v>70</x:v>
      </x:c>
      <x:c r="M172" s="46"/>
      <x:c r="N172" s="46"/>
      <x:c r="O172" s="14"/>
      <x:c r="P172" s="14" t="str">
        <x:v>D+2</x:v>
      </x:c>
      <x:c r="Q172" s="14" t="str">
        <x:v>seg/qua/sex ou seg a sext; revisar</x:v>
      </x:c>
      <x:c r="R172" s="14" t="str">
        <x:v>ORIGINAL</x:v>
      </x:c>
      <x:c r="S172" s="14" t="str">
        <x:v>NÃO</x:v>
      </x:c>
      <x:c r="T172" s="14" t="str">
        <x:v>REVISAR_OK</x:v>
      </x:c>
      <x:c r="U172" s="14" t="str">
        <x:v>doc20620920260704143119.pdf</x:v>
      </x:c>
      <x:c r="V172" s="14" t="str">
        <x:v>1</x:v>
      </x:c>
      <x:c r="W172" s="14"/>
      <x:c r="X172"/>
      <x:c r="Y172"/>
      <x:c r="Z172"/>
      <x:c r="AA172"/>
      <x:c r="AB172"/>
      <x:c r="AC172" t="str">
        <x:v>SIM</x:v>
      </x:c>
      <x:c r="AD172" t="str">
        <x:v>E&amp;M</x:v>
      </x:c>
      <x:c r="AE172" s="12" t="str">
        <x:v>PERCENTUAL</x:v>
      </x:c>
      <x:c r="AF172" s="12"/>
      <x:c r="AG172" s="12" t="str">
        <x:v>2.6.44</x:v>
      </x:c>
      <x:c r="AH172" s="12" t="str">
        <x:v>Frete base × percentual; aplicar frete mínimo quando maior. Bloco percentual ativado; controle visual passivo.</x:v>
      </x:c>
      <x:c r="AI172"/>
    </x:row>
    <x:row r="173">
      <x:c r="A173" s="14" t="str">
        <x:v>FENIX_0172</x:v>
      </x:c>
      <x:c r="B173" s="14" t="str">
        <x:v>FENIX</x:v>
      </x:c>
      <x:c r="C173" s="14"/>
      <x:c r="D173" s="14"/>
      <x:c r="E173" s="14" t="str">
        <x:v>Ananindeua</x:v>
      </x:c>
      <x:c r="F173" s="14" t="str">
        <x:v>PA</x:v>
      </x:c>
      <x:c r="G173" s="14" t="str">
        <x:v>Prainha</x:v>
      </x:c>
      <x:c r="H173" s="14" t="str">
        <x:v>PA</x:v>
      </x:c>
      <x:c r="I173" s="14" t="str">
        <x:v>ORIGEM ANANINDEUA</x:v>
      </x:c>
      <x:c r="J173" s="14"/>
      <x:c r="K173" s="14" t="str">
        <x:v>35%</x:v>
      </x:c>
      <x:c r="L173" s="46" t="n">
        <x:v>92</x:v>
      </x:c>
      <x:c r="M173" s="46"/>
      <x:c r="N173" s="46"/>
      <x:c r="O173" s="14"/>
      <x:c r="P173" s="14" t="str">
        <x:v>8 a 10 dias / revisar</x:v>
      </x:c>
      <x:c r="Q173" s="14" t="str">
        <x:v>3ª e 6ª Feira / revisar</x:v>
      </x:c>
      <x:c r="R173" s="14" t="str">
        <x:v>ORIGINAL</x:v>
      </x:c>
      <x:c r="S173" s="14" t="str">
        <x:v>NÃO</x:v>
      </x:c>
      <x:c r="T173" s="14" t="str">
        <x:v>REVISAR_OK</x:v>
      </x:c>
      <x:c r="U173" s="14" t="str">
        <x:v>doc20621020260704143141.pdf</x:v>
      </x:c>
      <x:c r="V173" s="14" t="str">
        <x:v>1</x:v>
      </x:c>
      <x:c r="W173" s="14"/>
      <x:c r="X173"/>
      <x:c r="Y173"/>
      <x:c r="Z173"/>
      <x:c r="AA173"/>
      <x:c r="AB173"/>
      <x:c r="AC173" t="str">
        <x:v>SIM</x:v>
      </x:c>
      <x:c r="AD173" t="str">
        <x:v>FÊNIX</x:v>
      </x:c>
      <x:c r="AE173" s="12" t="str">
        <x:v>PERCENTUAL</x:v>
      </x:c>
      <x:c r="AF173" s="12"/>
      <x:c r="AG173" s="12" t="str">
        <x:v>2.6.44</x:v>
      </x:c>
      <x:c r="AH173" s="12" t="str">
        <x:v>Frete base × percentual; aplicar frete mínimo quando maior. Bloco percentual ativado; controle visual passivo.</x:v>
      </x:c>
      <x:c r="AI173"/>
    </x:row>
    <x:row r="174">
      <x:c r="A174" s="14" t="str">
        <x:v>FENIX_0173</x:v>
      </x:c>
      <x:c r="B174" s="14" t="str">
        <x:v>FENIX</x:v>
      </x:c>
      <x:c r="C174" s="14"/>
      <x:c r="D174" s="14"/>
      <x:c r="E174" s="14" t="str">
        <x:v>Ananindeua</x:v>
      </x:c>
      <x:c r="F174" s="14" t="str">
        <x:v>PA</x:v>
      </x:c>
      <x:c r="G174" s="14" t="str">
        <x:v>Monte Alegre</x:v>
      </x:c>
      <x:c r="H174" s="14" t="str">
        <x:v>PA</x:v>
      </x:c>
      <x:c r="I174" s="14" t="str">
        <x:v>ORIGEM ANANINDEUA</x:v>
      </x:c>
      <x:c r="J174" s="14"/>
      <x:c r="K174" s="14" t="str">
        <x:v>35%</x:v>
      </x:c>
      <x:c r="L174" s="46" t="n">
        <x:v>92</x:v>
      </x:c>
      <x:c r="M174" s="46"/>
      <x:c r="N174" s="46"/>
      <x:c r="O174" s="14"/>
      <x:c r="P174" s="14" t="str">
        <x:v>8 a 10 dias / revisar</x:v>
      </x:c>
      <x:c r="Q174" s="14" t="str">
        <x:v>3ª e 6ª Feira / revisar</x:v>
      </x:c>
      <x:c r="R174" s="14" t="str">
        <x:v>ORIGINAL</x:v>
      </x:c>
      <x:c r="S174" s="14" t="str">
        <x:v>NÃO</x:v>
      </x:c>
      <x:c r="T174" s="14" t="str">
        <x:v>REVISAR_OK</x:v>
      </x:c>
      <x:c r="U174" s="14" t="str">
        <x:v>doc20621020260704143141.pdf</x:v>
      </x:c>
      <x:c r="V174" s="14" t="str">
        <x:v>1</x:v>
      </x:c>
      <x:c r="W174" s="14"/>
      <x:c r="X174"/>
      <x:c r="Y174"/>
      <x:c r="Z174"/>
      <x:c r="AA174"/>
      <x:c r="AB174"/>
      <x:c r="AC174" t="str">
        <x:v>SIM</x:v>
      </x:c>
      <x:c r="AD174" t="str">
        <x:v>FÊNIX</x:v>
      </x:c>
      <x:c r="AE174" s="12" t="str">
        <x:v>PERCENTUAL</x:v>
      </x:c>
      <x:c r="AF174" s="12"/>
      <x:c r="AG174" s="12" t="str">
        <x:v>2.6.44</x:v>
      </x:c>
      <x:c r="AH174" s="12" t="str">
        <x:v>Frete base × percentual; aplicar frete mínimo quando maior. Bloco percentual ativado; controle visual passivo.</x:v>
      </x:c>
      <x:c r="AI174"/>
    </x:row>
    <x:row r="175">
      <x:c r="A175" s="14" t="str">
        <x:v>FENIX_0174</x:v>
      </x:c>
      <x:c r="B175" s="14" t="str">
        <x:v>FENIX</x:v>
      </x:c>
      <x:c r="C175" s="14"/>
      <x:c r="D175" s="14"/>
      <x:c r="E175" s="14" t="str">
        <x:v>Ananindeua</x:v>
      </x:c>
      <x:c r="F175" s="14" t="str">
        <x:v>PA</x:v>
      </x:c>
      <x:c r="G175" s="14" t="str">
        <x:v>Santarém</x:v>
      </x:c>
      <x:c r="H175" s="14" t="str">
        <x:v>PA</x:v>
      </x:c>
      <x:c r="I175" s="14" t="str">
        <x:v>ORIGEM ANANINDEUA</x:v>
      </x:c>
      <x:c r="J175" s="14"/>
      <x:c r="K175" s="14" t="str">
        <x:v>33%</x:v>
      </x:c>
      <x:c r="L175" s="46" t="n">
        <x:v>92</x:v>
      </x:c>
      <x:c r="M175" s="46"/>
      <x:c r="N175" s="46"/>
      <x:c r="O175" s="14"/>
      <x:c r="P175" s="14" t="str">
        <x:v>8 a 10 dias / revisar</x:v>
      </x:c>
      <x:c r="Q175" s="14" t="str">
        <x:v>3ª e 6ª Feira / revisar</x:v>
      </x:c>
      <x:c r="R175" s="14" t="str">
        <x:v>ORIGINAL</x:v>
      </x:c>
      <x:c r="S175" s="14" t="str">
        <x:v>NÃO</x:v>
      </x:c>
      <x:c r="T175" s="14" t="str">
        <x:v>REVISAR_OK</x:v>
      </x:c>
      <x:c r="U175" s="14" t="str">
        <x:v>doc20621020260704143141.pdf</x:v>
      </x:c>
      <x:c r="V175" s="14" t="str">
        <x:v>1</x:v>
      </x:c>
      <x:c r="W175" s="14"/>
      <x:c r="X175"/>
      <x:c r="Y175"/>
      <x:c r="Z175"/>
      <x:c r="AA175"/>
      <x:c r="AB175"/>
      <x:c r="AC175" t="str">
        <x:v>SIM</x:v>
      </x:c>
      <x:c r="AD175" t="str">
        <x:v>FÊNIX</x:v>
      </x:c>
      <x:c r="AE175" s="12" t="str">
        <x:v>PERCENTUAL</x:v>
      </x:c>
      <x:c r="AF175" s="12"/>
      <x:c r="AG175" s="12" t="str">
        <x:v>2.6.44</x:v>
      </x:c>
      <x:c r="AH175" s="12" t="str">
        <x:v>Frete base × percentual; aplicar frete mínimo quando maior. Bloco percentual ativado; controle visual passivo.</x:v>
      </x:c>
      <x:c r="AI175"/>
    </x:row>
    <x:row r="176">
      <x:c r="A176" s="14" t="str">
        <x:v>FENIX_0175</x:v>
      </x:c>
      <x:c r="B176" s="14" t="str">
        <x:v>FENIX</x:v>
      </x:c>
      <x:c r="C176" s="14"/>
      <x:c r="D176" s="14"/>
      <x:c r="E176" s="14" t="str">
        <x:v>Ananindeua</x:v>
      </x:c>
      <x:c r="F176" s="14" t="str">
        <x:v>PA</x:v>
      </x:c>
      <x:c r="G176" s="14" t="str">
        <x:v>Itaituba</x:v>
      </x:c>
      <x:c r="H176" s="14" t="str">
        <x:v>PA</x:v>
      </x:c>
      <x:c r="I176" s="14" t="str">
        <x:v>ORIGEM ANANINDEUA</x:v>
      </x:c>
      <x:c r="J176" s="14"/>
      <x:c r="K176" s="14" t="str">
        <x:v>40%</x:v>
      </x:c>
      <x:c r="L176" s="46" t="n">
        <x:v>138</x:v>
      </x:c>
      <x:c r="M176" s="46"/>
      <x:c r="N176" s="46"/>
      <x:c r="O176" s="14"/>
      <x:c r="P176" s="14" t="str">
        <x:v>8 a 10 dias / revisar</x:v>
      </x:c>
      <x:c r="Q176" s="14" t="str">
        <x:v>3ª e 6ª Feira / revisar</x:v>
      </x:c>
      <x:c r="R176" s="14" t="str">
        <x:v>ORIGINAL</x:v>
      </x:c>
      <x:c r="S176" s="14" t="str">
        <x:v>NÃO</x:v>
      </x:c>
      <x:c r="T176" s="14" t="str">
        <x:v>REVISAR_OK</x:v>
      </x:c>
      <x:c r="U176" s="14" t="str">
        <x:v>doc20621020260704143141.pdf</x:v>
      </x:c>
      <x:c r="V176" s="14" t="str">
        <x:v>1</x:v>
      </x:c>
      <x:c r="W176" s="14"/>
      <x:c r="X176"/>
      <x:c r="Y176"/>
      <x:c r="Z176"/>
      <x:c r="AA176"/>
      <x:c r="AB176"/>
      <x:c r="AC176" t="str">
        <x:v>SIM</x:v>
      </x:c>
      <x:c r="AD176" t="str">
        <x:v>FÊNIX</x:v>
      </x:c>
      <x:c r="AE176" s="12" t="str">
        <x:v>PERCENTUAL</x:v>
      </x:c>
      <x:c r="AF176" s="12"/>
      <x:c r="AG176" s="12" t="str">
        <x:v>2.6.44</x:v>
      </x:c>
      <x:c r="AH176" s="12" t="str">
        <x:v>Frete base × percentual; aplicar frete mínimo quando maior. Bloco percentual ativado; controle visual passivo.</x:v>
      </x:c>
      <x:c r="AI176"/>
    </x:row>
    <x:row r="177">
      <x:c r="A177" s="14" t="str">
        <x:v>FENIX_0176</x:v>
      </x:c>
      <x:c r="B177" s="14" t="str">
        <x:v>FENIX</x:v>
      </x:c>
      <x:c r="C177" s="14"/>
      <x:c r="D177" s="14"/>
      <x:c r="E177" s="14" t="str">
        <x:v>Ananindeua</x:v>
      </x:c>
      <x:c r="F177" s="14" t="str">
        <x:v>PA</x:v>
      </x:c>
      <x:c r="G177" s="14" t="str">
        <x:v>Alenquer</x:v>
      </x:c>
      <x:c r="H177" s="14" t="str">
        <x:v>PA</x:v>
      </x:c>
      <x:c r="I177" s="14" t="str">
        <x:v>ORIGEM ANANINDEUA</x:v>
      </x:c>
      <x:c r="J177" s="14"/>
      <x:c r="K177" s="14" t="str">
        <x:v>40%</x:v>
      </x:c>
      <x:c r="L177" s="46" t="n">
        <x:v>138</x:v>
      </x:c>
      <x:c r="M177" s="46"/>
      <x:c r="N177" s="46"/>
      <x:c r="O177" s="14"/>
      <x:c r="P177" s="14" t="str">
        <x:v>8 a 10 dias / revisar</x:v>
      </x:c>
      <x:c r="Q177" s="14" t="str">
        <x:v>3ª e 6ª Feira / revisar</x:v>
      </x:c>
      <x:c r="R177" s="14" t="str">
        <x:v>ORIGINAL</x:v>
      </x:c>
      <x:c r="S177" s="14" t="str">
        <x:v>NÃO</x:v>
      </x:c>
      <x:c r="T177" s="14" t="str">
        <x:v>REVISAR_OK</x:v>
      </x:c>
      <x:c r="U177" s="14" t="str">
        <x:v>doc20621020260704143141.pdf</x:v>
      </x:c>
      <x:c r="V177" s="14" t="str">
        <x:v>1</x:v>
      </x:c>
      <x:c r="W177" s="14"/>
      <x:c r="X177"/>
      <x:c r="Y177"/>
      <x:c r="Z177"/>
      <x:c r="AA177"/>
      <x:c r="AB177"/>
      <x:c r="AC177" t="str">
        <x:v>SIM</x:v>
      </x:c>
      <x:c r="AD177" t="str">
        <x:v>FÊNIX</x:v>
      </x:c>
      <x:c r="AE177" s="12" t="str">
        <x:v>PERCENTUAL</x:v>
      </x:c>
      <x:c r="AF177" s="12"/>
      <x:c r="AG177" s="12" t="str">
        <x:v>2.6.44</x:v>
      </x:c>
      <x:c r="AH177" s="12" t="str">
        <x:v>Frete base × percentual; aplicar frete mínimo quando maior. Bloco percentual ativado; controle visual passivo.</x:v>
      </x:c>
      <x:c r="AI177"/>
    </x:row>
    <x:row r="178">
      <x:c r="A178" s="14" t="str">
        <x:v>FENIX_0177</x:v>
      </x:c>
      <x:c r="B178" s="14" t="str">
        <x:v>FENIX</x:v>
      </x:c>
      <x:c r="C178" s="14"/>
      <x:c r="D178" s="14"/>
      <x:c r="E178" s="14" t="str">
        <x:v>Ananindeua</x:v>
      </x:c>
      <x:c r="F178" s="14" t="str">
        <x:v>PA</x:v>
      </x:c>
      <x:c r="G178" s="14" t="str">
        <x:v>Oriximiná</x:v>
      </x:c>
      <x:c r="H178" s="14" t="str">
        <x:v>PA</x:v>
      </x:c>
      <x:c r="I178" s="14" t="str">
        <x:v>ORIGEM ANANINDEUA</x:v>
      </x:c>
      <x:c r="J178" s="14"/>
      <x:c r="K178" s="14" t="str">
        <x:v>40%</x:v>
      </x:c>
      <x:c r="L178" s="46" t="n">
        <x:v>138</x:v>
      </x:c>
      <x:c r="M178" s="46"/>
      <x:c r="N178" s="46"/>
      <x:c r="O178" s="14"/>
      <x:c r="P178" s="14" t="str">
        <x:v>8 a 10 dias / revisar</x:v>
      </x:c>
      <x:c r="Q178" s="14" t="str">
        <x:v>3ª e 6ª Feira / revisar</x:v>
      </x:c>
      <x:c r="R178" s="14" t="str">
        <x:v>ORIGINAL</x:v>
      </x:c>
      <x:c r="S178" s="14" t="str">
        <x:v>NÃO</x:v>
      </x:c>
      <x:c r="T178" s="14" t="str">
        <x:v>REVISAR_OK</x:v>
      </x:c>
      <x:c r="U178" s="14" t="str">
        <x:v>doc20621020260704143141.pdf</x:v>
      </x:c>
      <x:c r="V178" s="14" t="str">
        <x:v>1</x:v>
      </x:c>
      <x:c r="W178" s="14"/>
      <x:c r="X178"/>
      <x:c r="Y178"/>
      <x:c r="Z178"/>
      <x:c r="AA178"/>
      <x:c r="AB178"/>
      <x:c r="AC178" t="str">
        <x:v>SIM</x:v>
      </x:c>
      <x:c r="AD178" t="str">
        <x:v>FÊNIX</x:v>
      </x:c>
      <x:c r="AE178" s="12" t="str">
        <x:v>PERCENTUAL</x:v>
      </x:c>
      <x:c r="AF178" s="12"/>
      <x:c r="AG178" s="12" t="str">
        <x:v>2.6.44</x:v>
      </x:c>
      <x:c r="AH178" s="12" t="str">
        <x:v>Frete base × percentual; aplicar frete mínimo quando maior. Bloco percentual ativado; controle visual passivo.</x:v>
      </x:c>
      <x:c r="AI178"/>
    </x:row>
    <x:row r="179">
      <x:c r="A179" s="14" t="str">
        <x:v>FENIX_0178</x:v>
      </x:c>
      <x:c r="B179" s="14" t="str">
        <x:v>FENIX</x:v>
      </x:c>
      <x:c r="C179" s="14"/>
      <x:c r="D179" s="14"/>
      <x:c r="E179" s="14" t="str">
        <x:v>Ananindeua</x:v>
      </x:c>
      <x:c r="F179" s="14" t="str">
        <x:v>PA</x:v>
      </x:c>
      <x:c r="G179" s="14" t="str">
        <x:v>Óbidos</x:v>
      </x:c>
      <x:c r="H179" s="14" t="str">
        <x:v>PA</x:v>
      </x:c>
      <x:c r="I179" s="14" t="str">
        <x:v>ORIGEM ANANINDEUA</x:v>
      </x:c>
      <x:c r="J179" s="14"/>
      <x:c r="K179" s="14" t="str">
        <x:v>40%</x:v>
      </x:c>
      <x:c r="L179" s="46" t="n">
        <x:v>138</x:v>
      </x:c>
      <x:c r="M179" s="46"/>
      <x:c r="N179" s="46"/>
      <x:c r="O179" s="14"/>
      <x:c r="P179" s="14" t="str">
        <x:v>8 a 10 dias / revisar</x:v>
      </x:c>
      <x:c r="Q179" s="14" t="str">
        <x:v>3ª e 6ª Feira / revisar</x:v>
      </x:c>
      <x:c r="R179" s="14" t="str">
        <x:v>ORIGINAL</x:v>
      </x:c>
      <x:c r="S179" s="14" t="str">
        <x:v>NÃO</x:v>
      </x:c>
      <x:c r="T179" s="14" t="str">
        <x:v>REVISAR_OK</x:v>
      </x:c>
      <x:c r="U179" s="14" t="str">
        <x:v>doc20621020260704143141.pdf</x:v>
      </x:c>
      <x:c r="V179" s="14" t="str">
        <x:v>1</x:v>
      </x:c>
      <x:c r="W179" s="14"/>
      <x:c r="X179"/>
      <x:c r="Y179"/>
      <x:c r="Z179"/>
      <x:c r="AA179"/>
      <x:c r="AB179"/>
      <x:c r="AC179" t="str">
        <x:v>SIM</x:v>
      </x:c>
      <x:c r="AD179" t="str">
        <x:v>FÊNIX</x:v>
      </x:c>
      <x:c r="AE179" s="12" t="str">
        <x:v>PERCENTUAL</x:v>
      </x:c>
      <x:c r="AF179" s="12"/>
      <x:c r="AG179" s="12" t="str">
        <x:v>2.6.44</x:v>
      </x:c>
      <x:c r="AH179" s="12" t="str">
        <x:v>Frete base × percentual; aplicar frete mínimo quando maior. Bloco percentual ativado; controle visual passivo.</x:v>
      </x:c>
      <x:c r="AI179"/>
    </x:row>
    <x:row r="180">
      <x:c r="A180" s="14" t="str">
        <x:v>FENIX_0179</x:v>
      </x:c>
      <x:c r="B180" s="14" t="str">
        <x:v>FENIX</x:v>
      </x:c>
      <x:c r="C180" s="14"/>
      <x:c r="D180" s="14"/>
      <x:c r="E180" s="14" t="str">
        <x:v>Ananindeua</x:v>
      </x:c>
      <x:c r="F180" s="14" t="str">
        <x:v>PA</x:v>
      </x:c>
      <x:c r="G180" s="14" t="str">
        <x:v>Novo Progresso</x:v>
      </x:c>
      <x:c r="H180" s="14" t="str">
        <x:v>PA</x:v>
      </x:c>
      <x:c r="I180" s="14" t="str">
        <x:v>ORIGEM ANANINDEUA</x:v>
      </x:c>
      <x:c r="J180" s="14"/>
      <x:c r="K180" s="14" t="str">
        <x:v>40%</x:v>
      </x:c>
      <x:c r="L180" s="46" t="n">
        <x:v>138</x:v>
      </x:c>
      <x:c r="M180" s="46"/>
      <x:c r="N180" s="46"/>
      <x:c r="O180" s="14"/>
      <x:c r="P180" s="14" t="str">
        <x:v>8 a 10 dias / revisar</x:v>
      </x:c>
      <x:c r="Q180" s="14" t="str">
        <x:v>3ª e 6ª Feira / revisar</x:v>
      </x:c>
      <x:c r="R180" s="14" t="str">
        <x:v>ORIGINAL</x:v>
      </x:c>
      <x:c r="S180" s="14" t="str">
        <x:v>NÃO</x:v>
      </x:c>
      <x:c r="T180" s="14" t="str">
        <x:v>REVISAR_OK</x:v>
      </x:c>
      <x:c r="U180" s="14" t="str">
        <x:v>doc20621020260704143141.pdf</x:v>
      </x:c>
      <x:c r="V180" s="14" t="str">
        <x:v>1</x:v>
      </x:c>
      <x:c r="W180" s="14"/>
      <x:c r="X180"/>
      <x:c r="Y180"/>
      <x:c r="Z180"/>
      <x:c r="AA180"/>
      <x:c r="AB180"/>
      <x:c r="AC180" t="str">
        <x:v>SIM</x:v>
      </x:c>
      <x:c r="AD180" t="str">
        <x:v>FÊNIX</x:v>
      </x:c>
      <x:c r="AE180" s="12" t="str">
        <x:v>PERCENTUAL</x:v>
      </x:c>
      <x:c r="AF180" s="12"/>
      <x:c r="AG180" s="12" t="str">
        <x:v>2.6.44</x:v>
      </x:c>
      <x:c r="AH180" s="12" t="str">
        <x:v>Frete base × percentual; aplicar frete mínimo quando maior. Bloco percentual ativado; controle visual passivo.</x:v>
      </x:c>
      <x:c r="AI180"/>
    </x:row>
    <x:row r="181">
      <x:c r="A181" s="14" t="str">
        <x:v>FENIX_0180</x:v>
      </x:c>
      <x:c r="B181" s="14" t="str">
        <x:v>FENIX</x:v>
      </x:c>
      <x:c r="C181" s="14"/>
      <x:c r="D181" s="14"/>
      <x:c r="E181" s="14" t="str">
        <x:v>Ananindeua</x:v>
      </x:c>
      <x:c r="F181" s="14" t="str">
        <x:v>PA</x:v>
      </x:c>
      <x:c r="G181" s="14" t="str">
        <x:v>Juruti</x:v>
      </x:c>
      <x:c r="H181" s="14" t="str">
        <x:v>PA</x:v>
      </x:c>
      <x:c r="I181" s="14" t="str">
        <x:v>ORIGEM ANANINDEUA</x:v>
      </x:c>
      <x:c r="J181" s="14"/>
      <x:c r="K181" s="14" t="str">
        <x:v>40%</x:v>
      </x:c>
      <x:c r="L181" s="46" t="n">
        <x:v>138</x:v>
      </x:c>
      <x:c r="M181" s="46"/>
      <x:c r="N181" s="46"/>
      <x:c r="O181" s="14"/>
      <x:c r="P181" s="14" t="str">
        <x:v>8 a 10 dias / revisar</x:v>
      </x:c>
      <x:c r="Q181" s="14" t="str">
        <x:v>3ª e 6ª Feira / revisar</x:v>
      </x:c>
      <x:c r="R181" s="14" t="str">
        <x:v>ORIGINAL</x:v>
      </x:c>
      <x:c r="S181" s="14" t="str">
        <x:v>NÃO</x:v>
      </x:c>
      <x:c r="T181" s="14" t="str">
        <x:v>REVISAR_OK</x:v>
      </x:c>
      <x:c r="U181" s="14" t="str">
        <x:v>doc20621020260704143141.pdf</x:v>
      </x:c>
      <x:c r="V181" s="14" t="str">
        <x:v>1</x:v>
      </x:c>
      <x:c r="W181" s="14"/>
      <x:c r="X181"/>
      <x:c r="Y181"/>
      <x:c r="Z181"/>
      <x:c r="AA181"/>
      <x:c r="AB181"/>
      <x:c r="AC181" t="str">
        <x:v>SIM</x:v>
      </x:c>
      <x:c r="AD181" t="str">
        <x:v>FÊNIX</x:v>
      </x:c>
      <x:c r="AE181" s="12" t="str">
        <x:v>PERCENTUAL</x:v>
      </x:c>
      <x:c r="AF181" s="12"/>
      <x:c r="AG181" s="12" t="str">
        <x:v>2.6.44</x:v>
      </x:c>
      <x:c r="AH181" s="12" t="str">
        <x:v>Frete base × percentual; aplicar frete mínimo quando maior. Bloco percentual ativado; controle visual passivo.</x:v>
      </x:c>
      <x:c r="AI181"/>
    </x:row>
    <x:row r="182">
      <x:c r="A182" s="14" t="str">
        <x:v>FENIX_0181</x:v>
      </x:c>
      <x:c r="B182" s="14" t="str">
        <x:v>FENIX</x:v>
      </x:c>
      <x:c r="C182" s="14"/>
      <x:c r="D182" s="14"/>
      <x:c r="E182" s="14" t="str">
        <x:v>Ananindeua</x:v>
      </x:c>
      <x:c r="F182" s="14" t="str">
        <x:v>PA</x:v>
      </x:c>
      <x:c r="G182" s="14" t="str">
        <x:v>Terra Santa</x:v>
      </x:c>
      <x:c r="H182" s="14" t="str">
        <x:v>PA</x:v>
      </x:c>
      <x:c r="I182" s="14" t="str">
        <x:v>ORIGEM ANANINDEUA</x:v>
      </x:c>
      <x:c r="J182" s="14"/>
      <x:c r="K182" s="14" t="str">
        <x:v>40%</x:v>
      </x:c>
      <x:c r="L182" s="46" t="n">
        <x:v>138</x:v>
      </x:c>
      <x:c r="M182" s="46"/>
      <x:c r="N182" s="46"/>
      <x:c r="O182" s="14"/>
      <x:c r="P182" s="14" t="str">
        <x:v>8 a 10 dias / revisar</x:v>
      </x:c>
      <x:c r="Q182" s="14" t="str">
        <x:v>3ª e 6ª Feira / revisar</x:v>
      </x:c>
      <x:c r="R182" s="14" t="str">
        <x:v>ORIGINAL</x:v>
      </x:c>
      <x:c r="S182" s="14" t="str">
        <x:v>NÃO</x:v>
      </x:c>
      <x:c r="T182" s="14" t="str">
        <x:v>REVISAR_OK</x:v>
      </x:c>
      <x:c r="U182" s="14" t="str">
        <x:v>doc20621020260704143141.pdf</x:v>
      </x:c>
      <x:c r="V182" s="14" t="str">
        <x:v>1</x:v>
      </x:c>
      <x:c r="W182" s="14"/>
      <x:c r="X182"/>
      <x:c r="Y182"/>
      <x:c r="Z182"/>
      <x:c r="AA182"/>
      <x:c r="AB182"/>
      <x:c r="AC182" t="str">
        <x:v>SIM</x:v>
      </x:c>
      <x:c r="AD182" t="str">
        <x:v>FÊNIX</x:v>
      </x:c>
      <x:c r="AE182" s="12" t="str">
        <x:v>PERCENTUAL</x:v>
      </x:c>
      <x:c r="AF182" s="12"/>
      <x:c r="AG182" s="12" t="str">
        <x:v>2.6.44</x:v>
      </x:c>
      <x:c r="AH182" s="12" t="str">
        <x:v>Frete base × percentual; aplicar frete mínimo quando maior. Bloco percentual ativado; controle visual passivo.</x:v>
      </x:c>
      <x:c r="AI182"/>
    </x:row>
    <x:row r="183">
      <x:c r="A183" s="14" t="str">
        <x:v>FENIX_0182</x:v>
      </x:c>
      <x:c r="B183" s="14" t="str">
        <x:v>FENIX</x:v>
      </x:c>
      <x:c r="C183" s="14"/>
      <x:c r="D183" s="14"/>
      <x:c r="E183" s="14" t="str">
        <x:v>Ananindeua</x:v>
      </x:c>
      <x:c r="F183" s="14" t="str">
        <x:v>PA</x:v>
      </x:c>
      <x:c r="G183" s="14" t="str">
        <x:v>Faro</x:v>
      </x:c>
      <x:c r="H183" s="14" t="str">
        <x:v>PA</x:v>
      </x:c>
      <x:c r="I183" s="14" t="str">
        <x:v>ORIGEM ANANINDEUA</x:v>
      </x:c>
      <x:c r="J183" s="14"/>
      <x:c r="K183" s="14" t="str">
        <x:v>40%</x:v>
      </x:c>
      <x:c r="L183" s="46" t="n">
        <x:v>138</x:v>
      </x:c>
      <x:c r="M183" s="46"/>
      <x:c r="N183" s="46"/>
      <x:c r="O183" s="14"/>
      <x:c r="P183" s="14" t="str">
        <x:v>8 a 10 dias / revisar</x:v>
      </x:c>
      <x:c r="Q183" s="14" t="str">
        <x:v>3ª e 6ª Feira / revisar</x:v>
      </x:c>
      <x:c r="R183" s="14" t="str">
        <x:v>ORIGINAL</x:v>
      </x:c>
      <x:c r="S183" s="14" t="str">
        <x:v>NÃO</x:v>
      </x:c>
      <x:c r="T183" s="14" t="str">
        <x:v>REVISAR_OK</x:v>
      </x:c>
      <x:c r="U183" s="14" t="str">
        <x:v>doc20621020260704143141.pdf</x:v>
      </x:c>
      <x:c r="V183" s="14" t="str">
        <x:v>1</x:v>
      </x:c>
      <x:c r="W183" s="14"/>
      <x:c r="X183"/>
      <x:c r="Y183"/>
      <x:c r="Z183"/>
      <x:c r="AA183"/>
      <x:c r="AB183"/>
      <x:c r="AC183" t="str">
        <x:v>SIM</x:v>
      </x:c>
      <x:c r="AD183" t="str">
        <x:v>FÊNIX</x:v>
      </x:c>
      <x:c r="AE183" s="12" t="str">
        <x:v>PERCENTUAL</x:v>
      </x:c>
      <x:c r="AF183" s="12"/>
      <x:c r="AG183" s="12" t="str">
        <x:v>2.6.44</x:v>
      </x:c>
      <x:c r="AH183" s="12" t="str">
        <x:v>Frete base × percentual; aplicar frete mínimo quando maior. Bloco percentual ativado; controle visual passivo.</x:v>
      </x:c>
      <x:c r="AI183"/>
    </x:row>
    <x:row r="184">
      <x:c r="A184" s="14" t="str">
        <x:v>FENIX_0183</x:v>
      </x:c>
      <x:c r="B184" s="14" t="str">
        <x:v>FENIX</x:v>
      </x:c>
      <x:c r="C184" s="14"/>
      <x:c r="D184" s="14"/>
      <x:c r="E184" s="14" t="str">
        <x:v>Ananindeua</x:v>
      </x:c>
      <x:c r="F184" s="14" t="str">
        <x:v>PA</x:v>
      </x:c>
      <x:c r="G184" s="14" t="str">
        <x:v>Placas</x:v>
      </x:c>
      <x:c r="H184" s="14" t="str">
        <x:v>PA</x:v>
      </x:c>
      <x:c r="I184" s="14" t="str">
        <x:v>ORIGEM ANANINDEUA</x:v>
      </x:c>
      <x:c r="J184" s="14"/>
      <x:c r="K184" s="14" t="str">
        <x:v>40%</x:v>
      </x:c>
      <x:c r="L184" s="46" t="n">
        <x:v>138</x:v>
      </x:c>
      <x:c r="M184" s="46"/>
      <x:c r="N184" s="46"/>
      <x:c r="O184" s="14"/>
      <x:c r="P184" s="14" t="str">
        <x:v>8 a 10 dias / revisar</x:v>
      </x:c>
      <x:c r="Q184" s="14" t="str">
        <x:v>3ª e 6ª Feira / revisar</x:v>
      </x:c>
      <x:c r="R184" s="14" t="str">
        <x:v>ORIGINAL</x:v>
      </x:c>
      <x:c r="S184" s="14" t="str">
        <x:v>NÃO</x:v>
      </x:c>
      <x:c r="T184" s="14" t="str">
        <x:v>REVISAR_OK</x:v>
      </x:c>
      <x:c r="U184" s="14" t="str">
        <x:v>doc20621020260704143141.pdf</x:v>
      </x:c>
      <x:c r="V184" s="14" t="str">
        <x:v>1</x:v>
      </x:c>
      <x:c r="W184" s="14"/>
      <x:c r="X184"/>
      <x:c r="Y184"/>
      <x:c r="Z184"/>
      <x:c r="AA184"/>
      <x:c r="AB184"/>
      <x:c r="AC184" t="str">
        <x:v>SIM</x:v>
      </x:c>
      <x:c r="AD184" t="str">
        <x:v>FÊNIX</x:v>
      </x:c>
      <x:c r="AE184" s="12" t="str">
        <x:v>PERCENTUAL</x:v>
      </x:c>
      <x:c r="AF184" s="12"/>
      <x:c r="AG184" s="12" t="str">
        <x:v>2.6.44</x:v>
      </x:c>
      <x:c r="AH184" s="12" t="str">
        <x:v>Frete base × percentual; aplicar frete mínimo quando maior. Bloco percentual ativado; controle visual passivo.</x:v>
      </x:c>
      <x:c r="AI184"/>
    </x:row>
    <x:row r="185">
      <x:c r="A185" s="14" t="str">
        <x:v>FENIX_0184</x:v>
      </x:c>
      <x:c r="B185" s="14" t="str">
        <x:v>FENIX</x:v>
      </x:c>
      <x:c r="C185" s="14"/>
      <x:c r="D185" s="14"/>
      <x:c r="E185" s="14" t="str">
        <x:v>Ananindeua</x:v>
      </x:c>
      <x:c r="F185" s="14" t="str">
        <x:v>PA</x:v>
      </x:c>
      <x:c r="G185" s="14" t="str">
        <x:v>Aveiro</x:v>
      </x:c>
      <x:c r="H185" s="14" t="str">
        <x:v>PA</x:v>
      </x:c>
      <x:c r="I185" s="14" t="str">
        <x:v>ORIGEM ANANINDEUA</x:v>
      </x:c>
      <x:c r="J185" s="14"/>
      <x:c r="K185" s="14" t="str">
        <x:v>40%</x:v>
      </x:c>
      <x:c r="L185" s="46" t="n">
        <x:v>138</x:v>
      </x:c>
      <x:c r="M185" s="46"/>
      <x:c r="N185" s="46"/>
      <x:c r="O185" s="14"/>
      <x:c r="P185" s="14" t="str">
        <x:v>8 a 10 dias / revisar</x:v>
      </x:c>
      <x:c r="Q185" s="14" t="str">
        <x:v>3ª e 6ª Feira / revisar</x:v>
      </x:c>
      <x:c r="R185" s="14" t="str">
        <x:v>ORIGINAL</x:v>
      </x:c>
      <x:c r="S185" s="14" t="str">
        <x:v>NÃO</x:v>
      </x:c>
      <x:c r="T185" s="14" t="str">
        <x:v>REVISAR_OK</x:v>
      </x:c>
      <x:c r="U185" s="14" t="str">
        <x:v>doc20621020260704143141.pdf</x:v>
      </x:c>
      <x:c r="V185" s="14" t="str">
        <x:v>1</x:v>
      </x:c>
      <x:c r="W185" s="14"/>
      <x:c r="X185"/>
      <x:c r="Y185"/>
      <x:c r="Z185"/>
      <x:c r="AA185"/>
      <x:c r="AB185"/>
      <x:c r="AC185" t="str">
        <x:v>SIM</x:v>
      </x:c>
      <x:c r="AD185" t="str">
        <x:v>FÊNIX</x:v>
      </x:c>
      <x:c r="AE185" s="12" t="str">
        <x:v>PERCENTUAL</x:v>
      </x:c>
      <x:c r="AF185" s="12"/>
      <x:c r="AG185" s="12" t="str">
        <x:v>2.6.44</x:v>
      </x:c>
      <x:c r="AH185" s="12" t="str">
        <x:v>Frete base × percentual; aplicar frete mínimo quando maior. Bloco percentual ativado; controle visual passivo.</x:v>
      </x:c>
      <x:c r="AI185"/>
    </x:row>
    <x:row r="186">
      <x:c r="A186" s="14" t="str">
        <x:v>FENIX_0185</x:v>
      </x:c>
      <x:c r="B186" s="14" t="str">
        <x:v>FENIX</x:v>
      </x:c>
      <x:c r="C186" s="14"/>
      <x:c r="D186" s="14"/>
      <x:c r="E186" s="14" t="str">
        <x:v>Ananindeua</x:v>
      </x:c>
      <x:c r="F186" s="14" t="str">
        <x:v>PA</x:v>
      </x:c>
      <x:c r="G186" s="14" t="str">
        <x:v>Belterra</x:v>
      </x:c>
      <x:c r="H186" s="14" t="str">
        <x:v>PA</x:v>
      </x:c>
      <x:c r="I186" s="14" t="str">
        <x:v>ORIGEM ANANINDEUA</x:v>
      </x:c>
      <x:c r="J186" s="14"/>
      <x:c r="K186" s="14" t="str">
        <x:v>40%</x:v>
      </x:c>
      <x:c r="L186" s="46" t="n">
        <x:v>138</x:v>
      </x:c>
      <x:c r="M186" s="46"/>
      <x:c r="N186" s="46"/>
      <x:c r="O186" s="14"/>
      <x:c r="P186" s="14" t="str">
        <x:v>8 a 10 dias / revisar</x:v>
      </x:c>
      <x:c r="Q186" s="14" t="str">
        <x:v>3ª e 6ª Feira / revisar</x:v>
      </x:c>
      <x:c r="R186" s="14" t="str">
        <x:v>ORIGINAL</x:v>
      </x:c>
      <x:c r="S186" s="14" t="str">
        <x:v>NÃO</x:v>
      </x:c>
      <x:c r="T186" s="14" t="str">
        <x:v>REVISAR_OK</x:v>
      </x:c>
      <x:c r="U186" s="14" t="str">
        <x:v>doc20621020260704143141.pdf</x:v>
      </x:c>
      <x:c r="V186" s="14" t="str">
        <x:v>1</x:v>
      </x:c>
      <x:c r="W186" s="14"/>
      <x:c r="X186"/>
      <x:c r="Y186"/>
      <x:c r="Z186"/>
      <x:c r="AA186"/>
      <x:c r="AB186"/>
      <x:c r="AC186" t="str">
        <x:v>SIM</x:v>
      </x:c>
      <x:c r="AD186" t="str">
        <x:v>FÊNIX</x:v>
      </x:c>
      <x:c r="AE186" s="12" t="str">
        <x:v>PERCENTUAL</x:v>
      </x:c>
      <x:c r="AF186" s="12"/>
      <x:c r="AG186" s="12" t="str">
        <x:v>2.6.44</x:v>
      </x:c>
      <x:c r="AH186" s="12" t="str">
        <x:v>Frete base × percentual; aplicar frete mínimo quando maior. Bloco percentual ativado; controle visual passivo.</x:v>
      </x:c>
      <x:c r="AI186"/>
    </x:row>
    <x:row r="187">
      <x:c r="A187" s="14" t="str">
        <x:v>FENIX_0186</x:v>
      </x:c>
      <x:c r="B187" s="14" t="str">
        <x:v>FENIX</x:v>
      </x:c>
      <x:c r="C187" s="14"/>
      <x:c r="D187" s="14"/>
      <x:c r="E187" s="14" t="str">
        <x:v>Ananindeua</x:v>
      </x:c>
      <x:c r="F187" s="14" t="str">
        <x:v>PA</x:v>
      </x:c>
      <x:c r="G187" s="14" t="str">
        <x:v>Rurópolis</x:v>
      </x:c>
      <x:c r="H187" s="14" t="str">
        <x:v>PA</x:v>
      </x:c>
      <x:c r="I187" s="14" t="str">
        <x:v>ORIGEM ANANINDEUA</x:v>
      </x:c>
      <x:c r="J187" s="14"/>
      <x:c r="K187" s="14" t="str">
        <x:v>40%</x:v>
      </x:c>
      <x:c r="L187" s="46" t="n">
        <x:v>138</x:v>
      </x:c>
      <x:c r="M187" s="46"/>
      <x:c r="N187" s="46"/>
      <x:c r="O187" s="14"/>
      <x:c r="P187" s="14" t="str">
        <x:v>8 a 10 dias / revisar</x:v>
      </x:c>
      <x:c r="Q187" s="14" t="str">
        <x:v>3ª e 6ª Feira / revisar</x:v>
      </x:c>
      <x:c r="R187" s="14" t="str">
        <x:v>ORIGINAL</x:v>
      </x:c>
      <x:c r="S187" s="14" t="str">
        <x:v>NÃO</x:v>
      </x:c>
      <x:c r="T187" s="14" t="str">
        <x:v>REVISAR_OK</x:v>
      </x:c>
      <x:c r="U187" s="14" t="str">
        <x:v>doc20621020260704143141.pdf</x:v>
      </x:c>
      <x:c r="V187" s="14" t="str">
        <x:v>1</x:v>
      </x:c>
      <x:c r="W187" s="14"/>
      <x:c r="X187"/>
      <x:c r="Y187"/>
      <x:c r="Z187"/>
      <x:c r="AA187"/>
      <x:c r="AB187"/>
      <x:c r="AC187" t="str">
        <x:v>SIM</x:v>
      </x:c>
      <x:c r="AD187" t="str">
        <x:v>FÊNIX</x:v>
      </x:c>
      <x:c r="AE187" s="12" t="str">
        <x:v>PERCENTUAL</x:v>
      </x:c>
      <x:c r="AF187" s="12"/>
      <x:c r="AG187" s="12" t="str">
        <x:v>2.6.44</x:v>
      </x:c>
      <x:c r="AH187" s="12" t="str">
        <x:v>Frete base × percentual; aplicar frete mínimo quando maior. Bloco percentual ativado; controle visual passivo.</x:v>
      </x:c>
      <x:c r="AI187"/>
    </x:row>
    <x:row r="188">
      <x:c r="A188" s="14" t="str">
        <x:v>W_S_TRANSPORTES_0187_DESATIVADA</x:v>
      </x:c>
      <x:c r="B188" s="14"/>
      <x:c r="C188" s="14"/>
      <x:c r="D188" s="14"/>
      <x:c r="E188" s="14" t="str">
        <x:v>Guarulhos</x:v>
      </x:c>
      <x:c r="F188" s="14" t="str">
        <x:v>SP</x:v>
      </x:c>
      <x:c r="G188" s="14" t="str">
        <x:v>Vários destinos RO</x:v>
      </x:c>
      <x:c r="H188" s="14" t="str">
        <x:v>RO</x:v>
      </x:c>
      <x:c r="I188" s="14" t="str">
        <x:v>Polo Eixo</x:v>
      </x:c>
      <x:c r="J188" s="14" t="str">
        <x:v>DESATIVADA - usar REGIOES cidade a cidade</x:v>
      </x:c>
      <x:c r="K188" s="14"/>
      <x:c r="L188" s="46"/>
      <x:c r="M188" s="46"/>
      <x:c r="N188" s="46"/>
      <x:c r="O188" s="14"/>
      <x:c r="P188" s="14"/>
      <x:c r="Q188" s="14"/>
      <x:c r="R188" s="14" t="str">
        <x:v>ORIGINAL</x:v>
      </x:c>
      <x:c r="S188" s="14" t="str">
        <x:v>NÃO</x:v>
      </x:c>
      <x:c r="T188" s="14" t="str">
        <x:v>INATIVO_SUBSTITUIDO_REGIOES</x:v>
      </x:c>
      <x:c r="U188" s="14" t="str">
        <x:v>rodotec.pdf</x:v>
      </x:c>
      <x:c r="V188" s="14" t="str">
        <x:v>1-2</x:v>
      </x:c>
      <x:c r="W188" s="14" t="str">
        <x:v>Desativada para evitar cálculo genérico 25%/30%. Usar REGIOES/RODOTEC_DESTINOS.</x:v>
      </x:c>
      <x:c r="X188"/>
      <x:c r="Y188"/>
      <x:c r="Z188"/>
      <x:c r="AA188"/>
      <x:c r="AB188"/>
      <x:c r="AC188"/>
      <x:c r="AD188"/>
      <x:c r="AE188" s="12" t="str">
        <x:v>SEM_BLOCO</x:v>
      </x:c>
      <x:c r="AF188" s="12"/>
      <x:c r="AG188" s="12" t="str">
        <x:v>2.6.43</x:v>
      </x:c>
      <x:c r="AH188" s="12" t="str">
        <x:v>Sem regra numérica suficiente para cálculo compacto.</x:v>
      </x:c>
      <x:c r="AI188"/>
    </x:row>
    <x:row r="189">
      <x:c r="A189" s="14" t="str">
        <x:v>W_S_TRANSPORTES_0188_DESATIVADA</x:v>
      </x:c>
      <x:c r="B189" s="14"/>
      <x:c r="C189" s="14"/>
      <x:c r="D189" s="14"/>
      <x:c r="E189" s="14" t="str">
        <x:v>Guarulhos</x:v>
      </x:c>
      <x:c r="F189" s="14" t="str">
        <x:v>SP</x:v>
      </x:c>
      <x:c r="G189" s="14" t="str">
        <x:v>Vários destinos RO</x:v>
      </x:c>
      <x:c r="H189" s="14" t="str">
        <x:v>RO</x:v>
      </x:c>
      <x:c r="I189" s="14" t="str">
        <x:v>Interior</x:v>
      </x:c>
      <x:c r="J189" s="14" t="str">
        <x:v>DESATIVADA - usar REGIOES cidade a cidade</x:v>
      </x:c>
      <x:c r="K189" s="14"/>
      <x:c r="L189" s="46"/>
      <x:c r="M189" s="46"/>
      <x:c r="N189" s="46"/>
      <x:c r="O189" s="14"/>
      <x:c r="P189" s="14"/>
      <x:c r="Q189" s="14"/>
      <x:c r="R189" s="14" t="str">
        <x:v>ORIGINAL</x:v>
      </x:c>
      <x:c r="S189" s="14" t="str">
        <x:v>NÃO</x:v>
      </x:c>
      <x:c r="T189" s="14" t="str">
        <x:v>INATIVO_SUBSTITUIDO_REGIOES</x:v>
      </x:c>
      <x:c r="U189" s="14" t="str">
        <x:v>rodotec.pdf</x:v>
      </x:c>
      <x:c r="V189" s="14" t="str">
        <x:v>1-2</x:v>
      </x:c>
      <x:c r="W189" s="14" t="str">
        <x:v>Desativada para evitar regra genérica por UF. Usar REGIOES/RODOTEC_DESTINOS.</x:v>
      </x:c>
      <x:c r="X189"/>
      <x:c r="Y189"/>
      <x:c r="Z189"/>
      <x:c r="AA189"/>
      <x:c r="AB189"/>
      <x:c r="AC189"/>
      <x:c r="AD189"/>
      <x:c r="AE189" s="12" t="str">
        <x:v>SEM_BLOCO</x:v>
      </x:c>
      <x:c r="AF189" s="12"/>
      <x:c r="AG189" s="12" t="str">
        <x:v>2.6.43</x:v>
      </x:c>
      <x:c r="AH189" s="12" t="str">
        <x:v>Sem regra numérica suficiente para cálculo compacto.</x:v>
      </x:c>
      <x:c r="AI189"/>
    </x:row>
    <x:row r="190">
      <x:c r="A190" s="14" t="str">
        <x:v>W_S_TRANSPORTES_0189_DESATIVADA</x:v>
      </x:c>
      <x:c r="B190" s="14"/>
      <x:c r="C190" s="14"/>
      <x:c r="D190" s="14"/>
      <x:c r="E190" s="14" t="str">
        <x:v>Guarulhos</x:v>
      </x:c>
      <x:c r="F190" s="14" t="str">
        <x:v>SP</x:v>
      </x:c>
      <x:c r="G190" s="14" t="str">
        <x:v>Vários destinos AM</x:v>
      </x:c>
      <x:c r="H190" s="14" t="str">
        <x:v>AM</x:v>
      </x:c>
      <x:c r="I190" s="14" t="str">
        <x:v>Interior</x:v>
      </x:c>
      <x:c r="J190" s="14" t="str">
        <x:v>DESATIVADA - usar REGIOES cidade a cidade</x:v>
      </x:c>
      <x:c r="K190" s="14"/>
      <x:c r="L190" s="46"/>
      <x:c r="M190" s="46"/>
      <x:c r="N190" s="46"/>
      <x:c r="O190" s="14"/>
      <x:c r="P190" s="14"/>
      <x:c r="Q190" s="14"/>
      <x:c r="R190" s="14" t="str">
        <x:v>ORIGINAL</x:v>
      </x:c>
      <x:c r="S190" s="14" t="str">
        <x:v>NÃO</x:v>
      </x:c>
      <x:c r="T190" s="14" t="str">
        <x:v>INATIVO_SUBSTITUIDO_REGIOES</x:v>
      </x:c>
      <x:c r="U190" s="14" t="str">
        <x:v>rodotec.pdf</x:v>
      </x:c>
      <x:c r="V190" s="14" t="str">
        <x:v>1-2</x:v>
      </x:c>
      <x:c r="W190" s="14" t="str">
        <x:v>Desativada para evitar cálculo genérico 30%/35%. Usar REGIOES/RODOTEC_DESTINOS.</x:v>
      </x:c>
      <x:c r="X190"/>
      <x:c r="Y190"/>
      <x:c r="Z190"/>
      <x:c r="AA190"/>
      <x:c r="AB190"/>
      <x:c r="AC190"/>
      <x:c r="AD190"/>
      <x:c r="AE190" s="12" t="str">
        <x:v>SEM_BLOCO</x:v>
      </x:c>
      <x:c r="AF190" s="12"/>
      <x:c r="AG190" s="12" t="str">
        <x:v>2.6.43</x:v>
      </x:c>
      <x:c r="AH190" s="12" t="str">
        <x:v>Sem regra numérica suficiente para cálculo compacto.</x:v>
      </x:c>
      <x:c r="AI190"/>
    </x:row>
    <x:row r="191">
      <x:c r="A191" s="14" t="str">
        <x:v>W_S_TRANSPORTES_0190_DESATIVADA</x:v>
      </x:c>
      <x:c r="B191" s="14"/>
      <x:c r="C191" s="14"/>
      <x:c r="D191" s="14"/>
      <x:c r="E191" s="14" t="str">
        <x:v>Guarulhos</x:v>
      </x:c>
      <x:c r="F191" s="14" t="str">
        <x:v>SP</x:v>
      </x:c>
      <x:c r="G191" s="14" t="str">
        <x:v>Vários destinos AC</x:v>
      </x:c>
      <x:c r="H191" s="14" t="str">
        <x:v>AC</x:v>
      </x:c>
      <x:c r="I191" s="14" t="str">
        <x:v>Capital/Interior</x:v>
      </x:c>
      <x:c r="J191" s="14" t="str">
        <x:v>DESATIVADA - usar REGIOES cidade a cidade</x:v>
      </x:c>
      <x:c r="K191" s="14"/>
      <x:c r="L191" s="46"/>
      <x:c r="M191" s="46"/>
      <x:c r="N191" s="46"/>
      <x:c r="O191" s="14"/>
      <x:c r="P191" s="14"/>
      <x:c r="Q191" s="14"/>
      <x:c r="R191" s="14" t="str">
        <x:v>ORIGINAL</x:v>
      </x:c>
      <x:c r="S191" s="14" t="str">
        <x:v>NÃO</x:v>
      </x:c>
      <x:c r="T191" s="14" t="str">
        <x:v>INATIVO_SUBSTITUIDO_REGIOES</x:v>
      </x:c>
      <x:c r="U191" s="14" t="str">
        <x:v>rodotec.pdf</x:v>
      </x:c>
      <x:c r="V191" s="14" t="str">
        <x:v>1-2</x:v>
      </x:c>
      <x:c r="W191" s="14" t="str">
        <x:v>Desativada para evitar cálculo genérico 30%/35%. Usar REGIOES/RODOTEC_DESTINOS.</x:v>
      </x:c>
      <x:c r="X191"/>
      <x:c r="Y191"/>
      <x:c r="Z191"/>
      <x:c r="AA191"/>
      <x:c r="AB191"/>
      <x:c r="AC191"/>
      <x:c r="AD191"/>
      <x:c r="AE191" s="12" t="str">
        <x:v>SEM_BLOCO</x:v>
      </x:c>
      <x:c r="AF191" s="12"/>
      <x:c r="AG191" s="12" t="str">
        <x:v>2.6.43</x:v>
      </x:c>
      <x:c r="AH191" s="12" t="str">
        <x:v>Sem regra numérica suficiente para cálculo compacto.</x:v>
      </x:c>
      <x:c r="AI191"/>
    </x:row>
    <x:row r="192">
      <x:c r="A192" s="14" t="str">
        <x:v>MRV_TRANSPORTES_0192</x:v>
      </x:c>
      <x:c r="B192" s="14" t="str">
        <x:v>MRV_TRANSPORTES</x:v>
      </x:c>
      <x:c r="C192" s="14"/>
      <x:c r="D192" s="14"/>
      <x:c r="E192" s="14"/>
      <x:c r="F192" s="14"/>
      <x:c r="G192" s="14" t="str">
        <x:v>PALMAS</x:v>
      </x:c>
      <x:c r="H192" s="14" t="str">
        <x:v>TO</x:v>
      </x:c>
      <x:c r="I192" s="14" t="str">
        <x:v>MRV TO - PALMAS</x:v>
      </x:c>
      <x:c r="J192" s="14" t="str">
        <x:v>Distribuição Palmas</x:v>
      </x:c>
      <x:c r="K192" s="14" t="str">
        <x:v>25%</x:v>
      </x:c>
      <x:c r="L192" s="46" t="n">
        <x:v>40</x:v>
      </x:c>
      <x:c r="M192" s="46"/>
      <x:c r="N192" s="46"/>
      <x:c r="O192" s="14"/>
      <x:c r="P192" s="14"/>
      <x:c r="Q192" s="14"/>
      <x:c r="R192" s="14" t="str">
        <x:v>ORIGEM</x:v>
      </x:c>
      <x:c r="S192" s="14" t="str">
        <x:v>NÃO</x:v>
      </x:c>
      <x:c r="T192" s="14" t="str">
        <x:v>REVISAR_OK</x:v>
      </x:c>
      <x:c r="U192" s="14" t="str">
        <x:v>Tabela MRV Logistica.pdf</x:v>
      </x:c>
      <x:c r="V192" s="14" t="str">
        <x:v>1 (pág. 4/5)</x:v>
      </x:c>
      <x:c r="W192" s="14" t="str">
        <x:v>Valores em cima do frete de origem da Rodovitor. Frete mínimo R$40 anotado no PDF. Reentrega 50%; armazém isento 3 dias; descarga somente quando houver. Carga acima de 10.000 kg possui regra especial: Palmas 20% sobre frete de origem.</x:v>
      </x:c>
      <x:c r="X192"/>
      <x:c r="Y192"/>
      <x:c r="Z192"/>
      <x:c r="AA192"/>
      <x:c r="AB192"/>
      <x:c r="AC192" t="str">
        <x:v>SIM</x:v>
      </x:c>
      <x:c r="AD192" t="str">
        <x:v>MRV</x:v>
      </x:c>
      <x:c r="AE192" s="12" t="str">
        <x:v>PERCENTUAL</x:v>
      </x:c>
      <x:c r="AF192" s="12"/>
      <x:c r="AG192" s="12" t="str">
        <x:v>2.6.44</x:v>
      </x:c>
      <x:c r="AH192" s="12" t="str">
        <x:v>Frete base × percentual; aplicar frete mínimo quando maior. Bloco percentual ativado; controle visual passivo.</x:v>
      </x:c>
      <x:c r="AI192"/>
    </x:row>
    <x:row r="193">
      <x:c r="A193" t="str">
        <x:v>MRV_TRANSPORTES_0193</x:v>
      </x:c>
      <x:c r="B193" t="str">
        <x:v>MRV_TRANSPORTES</x:v>
      </x:c>
      <x:c r="C193"/>
      <x:c r="D193"/>
      <x:c r="E193"/>
      <x:c r="F193"/>
      <x:c r="G193" t="str">
        <x:v>DIVERSOS</x:v>
      </x:c>
      <x:c r="H193" t="str">
        <x:v>TO</x:v>
      </x:c>
      <x:c r="I193" t="str">
        <x:v>MRV TO - DEMAIS CIDADES</x:v>
      </x:c>
      <x:c r="J193" t="str">
        <x:v>Demais cidades TO</x:v>
      </x:c>
      <x:c r="K193" t="str">
        <x:v>30%</x:v>
      </x:c>
      <x:c r="L193" t="n">
        <x:v>60</x:v>
      </x:c>
      <x:c r="M193"/>
      <x:c r="N193"/>
      <x:c r="O193"/>
      <x:c r="P193"/>
      <x:c r="Q193"/>
      <x:c r="R193" t="str">
        <x:v>ORIGEM</x:v>
      </x:c>
      <x:c r="S193" t="str">
        <x:v>NÃO</x:v>
      </x:c>
      <x:c r="T193" t="str">
        <x:v>REVISAR_OK</x:v>
      </x:c>
      <x:c r="U193" t="str">
        <x:v>Tabela MRV Logistica.pdf</x:v>
      </x:c>
      <x:c r="V193" t="str">
        <x:v>1 (pág. 4/5)</x:v>
      </x:c>
      <x:c r="W193" t="str">
        <x:v>Demais cidades do Tocantins. Uso de destino genérico DIVERSOS/TO para casar com cidades não listadas no cadastro específico. Frete mínimo R$60 anotado no PDF. Reentrega 100%; armazém isento 3 dias; descarga somente quando houver. Regra acima de 10.000 kg: demais cidades TO 25% sobre frete de origem.</x:v>
      </x:c>
      <x:c r="X193"/>
      <x:c r="Y193"/>
      <x:c r="Z193"/>
      <x:c r="AA193"/>
      <x:c r="AB193"/>
      <x:c r="AC193" t="str">
        <x:v>SIM</x:v>
      </x:c>
      <x:c r="AD193" t="str">
        <x:v>MRV</x:v>
      </x:c>
      <x:c r="AE193" s="12" t="str">
        <x:v>PERCENTUAL</x:v>
      </x:c>
      <x:c r="AF193" s="12"/>
      <x:c r="AG193" s="12" t="str">
        <x:v>2.6.44</x:v>
      </x:c>
      <x:c r="AH193" s="12" t="str">
        <x:v>Frete base × percentual; aplicar frete mínimo quando maior. Bloco percentual ativado; controle visual passivo.</x:v>
      </x:c>
      <x:c r="AI193"/>
    </x:row>
    <x:row r="194">
      <x:c r="A194" t="str">
        <x:v>EUNUQUES_LOPES_0001</x:v>
      </x:c>
      <x:c r="B194" t="str">
        <x:v>EUNUQUES_LOPES</x:v>
      </x:c>
      <x:c r="C194"/>
      <x:c r="D194"/>
      <x:c r="E194" t="str">
        <x:v>Paragominas</x:v>
      </x:c>
      <x:c r="F194" t="str">
        <x:v>PA</x:v>
      </x:c>
      <x:c r="G194" t="str">
        <x:v>Tailândia</x:v>
      </x:c>
      <x:c r="H194" t="str">
        <x:v>PA</x:v>
      </x:c>
      <x:c r="I194" t="str">
        <x:v>PARAGOMINAS</x:v>
      </x:c>
      <x:c r="J194"/>
      <x:c r="K194" t="str">
        <x:v>35%</x:v>
      </x:c>
      <x:c r="L194" t="n">
        <x:v>70</x:v>
      </x:c>
      <x:c r="M194"/>
      <x:c r="N194"/>
      <x:c r="O194"/>
      <x:c r="P194" t="str">
        <x:v>D+3</x:v>
      </x:c>
      <x:c r="Q194" t="str">
        <x:v>seg/qua/sex ou seg a sext; revisar</x:v>
      </x:c>
      <x:c r="R194" t="str">
        <x:v>ORIGINAL</x:v>
      </x:c>
      <x:c r="S194" t="str">
        <x:v>NÃO</x:v>
      </x:c>
      <x:c r="T194" t="str">
        <x:v>REVISAR_OK</x:v>
      </x:c>
      <x:c r="U194" t="str">
        <x:v>TABELA EUNUQUES LOPES.pdf</x:v>
      </x:c>
      <x:c r="V194" t="str">
        <x:v>1</x:v>
      </x:c>
      <x:c r="W194" t="str">
        <x:v>Fonte E&amp;M Transportes; usuário informou vínculo operacional EM Lopes/Eunuques. Regra cadastrada para o CNPJ do XML.</x:v>
      </x:c>
      <x:c r="X194"/>
      <x:c r="Y194"/>
      <x:c r="Z194"/>
      <x:c r="AA194"/>
      <x:c r="AB194"/>
      <x:c r="AC194" t="str">
        <x:v>SIM</x:v>
      </x:c>
      <x:c r="AD194" t="str">
        <x:v>EM LOPES</x:v>
      </x:c>
      <x:c r="AE194" s="12" t="str">
        <x:v>PERCENTUAL</x:v>
      </x:c>
      <x:c r="AF194" s="12"/>
      <x:c r="AG194" s="12" t="str">
        <x:v>2.6.46</x:v>
      </x:c>
      <x:c r="AH194" s="12" t="str">
        <x:v>Frete base × percentual; aplicar frete mínimo quando maior. Bloco percentual ativado; controle visual passivo.</x:v>
      </x:c>
      <x:c r="AI194"/>
    </x:row>
    <x:row r="195">
      <x:c r="A195" t="str">
        <x:v>EUNUQUES_LOPES_0002</x:v>
      </x:c>
      <x:c r="B195" t="str">
        <x:v>EUNUQUES_LOPES</x:v>
      </x:c>
      <x:c r="C195"/>
      <x:c r="D195"/>
      <x:c r="E195" t="str">
        <x:v>Paragominas</x:v>
      </x:c>
      <x:c r="F195" t="str">
        <x:v>PA</x:v>
      </x:c>
      <x:c r="G195" t="str">
        <x:v>Irituia</x:v>
      </x:c>
      <x:c r="H195" t="str">
        <x:v>PA</x:v>
      </x:c>
      <x:c r="I195" t="str">
        <x:v>PARAGOMINAS</x:v>
      </x:c>
      <x:c r="J195"/>
      <x:c r="K195" t="str">
        <x:v>20%</x:v>
      </x:c>
      <x:c r="L195" t="n">
        <x:v>70</x:v>
      </x:c>
      <x:c r="M195"/>
      <x:c r="N195"/>
      <x:c r="O195"/>
      <x:c r="P195" t="str">
        <x:v>D+2</x:v>
      </x:c>
      <x:c r="Q195" t="str">
        <x:v>seg/qua/sex ou seg a sext; revisar</x:v>
      </x:c>
      <x:c r="R195" t="str">
        <x:v>ORIGINAL</x:v>
      </x:c>
      <x:c r="S195" t="str">
        <x:v>NÃO</x:v>
      </x:c>
      <x:c r="T195" t="str">
        <x:v>REVISAR_OK</x:v>
      </x:c>
      <x:c r="U195" t="str">
        <x:v>TABELA EUNUQUES LOPES.pdf</x:v>
      </x:c>
      <x:c r="V195" t="str">
        <x:v>1</x:v>
      </x:c>
      <x:c r="W195" t="str">
        <x:v>Fonte E&amp;M Transportes; usuário informou vínculo operacional EM Lopes/Eunuques. Regra cadastrada para o CNPJ do XML.</x:v>
      </x:c>
      <x:c r="X195"/>
      <x:c r="Y195"/>
      <x:c r="Z195"/>
      <x:c r="AA195"/>
      <x:c r="AB195"/>
      <x:c r="AC195" t="str">
        <x:v>SIM</x:v>
      </x:c>
      <x:c r="AD195" t="str">
        <x:v>EM LOPES</x:v>
      </x:c>
      <x:c r="AE195" t="str">
        <x:v>PERCENTUAL</x:v>
      </x:c>
      <x:c r="AF195"/>
      <x:c r="AG195" t="str">
        <x:v>2.6.46</x:v>
      </x:c>
      <x:c r="AH195" t="str">
        <x:v>Frete base × percentual; aplicar frete mínimo quando maior. Bloco percentual ativado; controle visual passivo.</x:v>
      </x:c>
      <x:c r="AI195"/>
    </x:row>
    <x:row r="196">
      <x:c r="A196" t="str">
        <x:v>EUNUQUES_LOPES_0003</x:v>
      </x:c>
      <x:c r="B196" t="str">
        <x:v>EUNUQUES_LOPES</x:v>
      </x:c>
      <x:c r="C196"/>
      <x:c r="D196"/>
      <x:c r="E196" t="str">
        <x:v>Paragominas</x:v>
      </x:c>
      <x:c r="F196" t="str">
        <x:v>PA</x:v>
      </x:c>
      <x:c r="G196" t="str">
        <x:v>Tomé Açu</x:v>
      </x:c>
      <x:c r="H196" t="str">
        <x:v>PA</x:v>
      </x:c>
      <x:c r="I196" t="str">
        <x:v>PARAGOMINAS</x:v>
      </x:c>
      <x:c r="J196"/>
      <x:c r="K196" t="str">
        <x:v>20%</x:v>
      </x:c>
      <x:c r="L196" t="n">
        <x:v>70</x:v>
      </x:c>
      <x:c r="M196"/>
      <x:c r="N196"/>
      <x:c r="O196"/>
      <x:c r="P196" t="str">
        <x:v>D+3</x:v>
      </x:c>
      <x:c r="Q196" t="str">
        <x:v>seg/qua/sex ou seg a sext; revisar</x:v>
      </x:c>
      <x:c r="R196" t="str">
        <x:v>ORIGINAL</x:v>
      </x:c>
      <x:c r="S196" t="str">
        <x:v>NÃO</x:v>
      </x:c>
      <x:c r="T196" t="str">
        <x:v>REVISAR_OK</x:v>
      </x:c>
      <x:c r="U196" t="str">
        <x:v>TABELA EUNUQUES LOPES.pdf</x:v>
      </x:c>
      <x:c r="V196" t="str">
        <x:v>1</x:v>
      </x:c>
      <x:c r="W196" t="str">
        <x:v>Fonte E&amp;M Transportes; usuário informou vínculo operacional EM Lopes/Eunuques. Regra cadastrada para o CNPJ do XML.</x:v>
      </x:c>
      <x:c r="X196"/>
      <x:c r="Y196"/>
      <x:c r="Z196"/>
      <x:c r="AA196"/>
      <x:c r="AB196"/>
      <x:c r="AC196" t="str">
        <x:v>SIM</x:v>
      </x:c>
      <x:c r="AD196" t="str">
        <x:v>EM LOPES</x:v>
      </x:c>
      <x:c r="AE196" t="str">
        <x:v>PERCENTUAL</x:v>
      </x:c>
      <x:c r="AF196"/>
      <x:c r="AG196" t="str">
        <x:v>2.6.46</x:v>
      </x:c>
      <x:c r="AH196" t="str">
        <x:v>Frete base × percentual; aplicar frete mínimo quando maior. Bloco percentual ativado; controle visual passivo.</x:v>
      </x:c>
      <x:c r="AI196"/>
    </x:row>
    <x:row r="197">
      <x:c r="A197" t="str">
        <x:v>EUNUQUES_LOPES_0004</x:v>
      </x:c>
      <x:c r="B197" t="str">
        <x:v>EUNUQUES_LOPES</x:v>
      </x:c>
      <x:c r="C197"/>
      <x:c r="D197"/>
      <x:c r="E197" t="str">
        <x:v>Paragominas</x:v>
      </x:c>
      <x:c r="F197" t="str">
        <x:v>PA</x:v>
      </x:c>
      <x:c r="G197" t="str">
        <x:v>4 Bocas</x:v>
      </x:c>
      <x:c r="H197" t="str">
        <x:v>PA</x:v>
      </x:c>
      <x:c r="I197" t="str">
        <x:v>PARAGOMINAS</x:v>
      </x:c>
      <x:c r="J197"/>
      <x:c r="K197" t="str">
        <x:v>20%</x:v>
      </x:c>
      <x:c r="L197" t="n">
        <x:v>70</x:v>
      </x:c>
      <x:c r="M197"/>
      <x:c r="N197"/>
      <x:c r="O197"/>
      <x:c r="P197" t="str">
        <x:v>D+3</x:v>
      </x:c>
      <x:c r="Q197" t="str">
        <x:v>seg/qua/sex ou seg a sext; revisar</x:v>
      </x:c>
      <x:c r="R197" t="str">
        <x:v>ORIGINAL</x:v>
      </x:c>
      <x:c r="S197" t="str">
        <x:v>NÃO</x:v>
      </x:c>
      <x:c r="T197" t="str">
        <x:v>REVISAR_OK</x:v>
      </x:c>
      <x:c r="U197" t="str">
        <x:v>TABELA EUNUQUES LOPES.pdf</x:v>
      </x:c>
      <x:c r="V197" t="str">
        <x:v>1</x:v>
      </x:c>
      <x:c r="W197" t="str">
        <x:v>Fonte E&amp;M Transportes; usuário informou vínculo operacional EM Lopes/Eunuques. Regra cadastrada para o CNPJ do XML.</x:v>
      </x:c>
      <x:c r="X197"/>
      <x:c r="Y197"/>
      <x:c r="Z197"/>
      <x:c r="AA197"/>
      <x:c r="AB197"/>
      <x:c r="AC197" t="str">
        <x:v>SIM</x:v>
      </x:c>
      <x:c r="AD197" t="str">
        <x:v>EM LOPES</x:v>
      </x:c>
      <x:c r="AE197" t="str">
        <x:v>PERCENTUAL</x:v>
      </x:c>
      <x:c r="AF197"/>
      <x:c r="AG197" t="str">
        <x:v>2.6.46</x:v>
      </x:c>
      <x:c r="AH197" t="str">
        <x:v>Frete base × percentual; aplicar frete mínimo quando maior. Bloco percentual ativado; controle visual passivo.</x:v>
      </x:c>
      <x:c r="AI197"/>
    </x:row>
    <x:row r="198">
      <x:c r="A198" t="str">
        <x:v>EUNUQUES_LOPES_0005</x:v>
      </x:c>
      <x:c r="B198" t="str">
        <x:v>EUNUQUES_LOPES</x:v>
      </x:c>
      <x:c r="C198"/>
      <x:c r="D198"/>
      <x:c r="E198" t="str">
        <x:v>Paragominas</x:v>
      </x:c>
      <x:c r="F198" t="str">
        <x:v>PA</x:v>
      </x:c>
      <x:c r="G198" t="str">
        <x:v>Bom Jesus do Tocantins</x:v>
      </x:c>
      <x:c r="H198" t="str">
        <x:v>PA</x:v>
      </x:c>
      <x:c r="I198" t="str">
        <x:v>PARAGOMINAS</x:v>
      </x:c>
      <x:c r="J198"/>
      <x:c r="K198" t="str">
        <x:v>28%</x:v>
      </x:c>
      <x:c r="L198" t="n">
        <x:v>50</x:v>
      </x:c>
      <x:c r="M198"/>
      <x:c r="N198"/>
      <x:c r="O198"/>
      <x:c r="P198" t="str">
        <x:v>D+2</x:v>
      </x:c>
      <x:c r="Q198" t="str">
        <x:v>seg/qua/sex ou seg a sext; revisar</x:v>
      </x:c>
      <x:c r="R198" t="str">
        <x:v>ORIGINAL</x:v>
      </x:c>
      <x:c r="S198" t="str">
        <x:v>NÃO</x:v>
      </x:c>
      <x:c r="T198" t="str">
        <x:v>REVISAR_OK</x:v>
      </x:c>
      <x:c r="U198" t="str">
        <x:v>TABELA EUNUQUES LOPES.pdf</x:v>
      </x:c>
      <x:c r="V198" t="str">
        <x:v>1</x:v>
      </x:c>
      <x:c r="W198" t="str">
        <x:v>Fonte E&amp;M Transportes; usuário informou vínculo operacional EM Lopes/Eunuques. Regra cadastrada para o CNPJ do XML.</x:v>
      </x:c>
      <x:c r="X198"/>
      <x:c r="Y198"/>
      <x:c r="Z198"/>
      <x:c r="AA198"/>
      <x:c r="AB198"/>
      <x:c r="AC198" t="str">
        <x:v>SIM</x:v>
      </x:c>
      <x:c r="AD198" t="str">
        <x:v>EM LOPES</x:v>
      </x:c>
      <x:c r="AE198" t="str">
        <x:v>PERCENTUAL</x:v>
      </x:c>
      <x:c r="AF198"/>
      <x:c r="AG198" t="str">
        <x:v>2.6.46</x:v>
      </x:c>
      <x:c r="AH198" t="str">
        <x:v>Frete base × percentual; aplicar frete mínimo quando maior. Bloco percentual ativado; controle visual passivo.</x:v>
      </x:c>
      <x:c r="AI198"/>
    </x:row>
    <x:row r="199">
      <x:c r="A199" t="str">
        <x:v>EUNUQUES_LOPES_0006</x:v>
      </x:c>
      <x:c r="B199" t="str">
        <x:v>EUNUQUES_LOPES</x:v>
      </x:c>
      <x:c r="C199"/>
      <x:c r="D199"/>
      <x:c r="E199" t="str">
        <x:v>Paragominas</x:v>
      </x:c>
      <x:c r="F199" t="str">
        <x:v>PA</x:v>
      </x:c>
      <x:c r="G199" t="str">
        <x:v>Abel Figueiredo</x:v>
      </x:c>
      <x:c r="H199" t="str">
        <x:v>PA</x:v>
      </x:c>
      <x:c r="I199" t="str">
        <x:v>PARAGOMINAS</x:v>
      </x:c>
      <x:c r="J199"/>
      <x:c r="K199" t="str">
        <x:v>25%</x:v>
      </x:c>
      <x:c r="L199" t="n">
        <x:v>50</x:v>
      </x:c>
      <x:c r="M199"/>
      <x:c r="N199"/>
      <x:c r="O199"/>
      <x:c r="P199" t="str">
        <x:v>D+2</x:v>
      </x:c>
      <x:c r="Q199" t="str">
        <x:v>seg/qua/sex ou seg a sext; revisar</x:v>
      </x:c>
      <x:c r="R199" t="str">
        <x:v>ORIGINAL</x:v>
      </x:c>
      <x:c r="S199" t="str">
        <x:v>NÃO</x:v>
      </x:c>
      <x:c r="T199" t="str">
        <x:v>REVISAR_OK</x:v>
      </x:c>
      <x:c r="U199" t="str">
        <x:v>TABELA EUNUQUES LOPES.pdf</x:v>
      </x:c>
      <x:c r="V199" t="str">
        <x:v>1</x:v>
      </x:c>
      <x:c r="W199" t="str">
        <x:v>Fonte E&amp;M Transportes; usuário informou vínculo operacional EM Lopes/Eunuques. Regra cadastrada para o CNPJ do XML.</x:v>
      </x:c>
      <x:c r="X199"/>
      <x:c r="Y199"/>
      <x:c r="Z199"/>
      <x:c r="AA199"/>
      <x:c r="AB199"/>
      <x:c r="AC199" t="str">
        <x:v>SIM</x:v>
      </x:c>
      <x:c r="AD199" t="str">
        <x:v>EM LOPES</x:v>
      </x:c>
      <x:c r="AE199" t="str">
        <x:v>PERCENTUAL</x:v>
      </x:c>
      <x:c r="AF199"/>
      <x:c r="AG199" t="str">
        <x:v>2.6.46</x:v>
      </x:c>
      <x:c r="AH199" t="str">
        <x:v>Frete base × percentual; aplicar frete mínimo quando maior. Bloco percentual ativado; controle visual passivo.</x:v>
      </x:c>
      <x:c r="AI199"/>
    </x:row>
    <x:row r="200">
      <x:c r="A200" t="str">
        <x:v>EUNUQUES_LOPES_0007</x:v>
      </x:c>
      <x:c r="B200" t="str">
        <x:v>EUNUQUES_LOPES</x:v>
      </x:c>
      <x:c r="C200"/>
      <x:c r="D200"/>
      <x:c r="E200" t="str">
        <x:v>Paragominas</x:v>
      </x:c>
      <x:c r="F200" t="str">
        <x:v>PA</x:v>
      </x:c>
      <x:c r="G200" t="str">
        <x:v>Rondon do Pará</x:v>
      </x:c>
      <x:c r="H200" t="str">
        <x:v>PA</x:v>
      </x:c>
      <x:c r="I200" t="str">
        <x:v>PARAGOMINAS</x:v>
      </x:c>
      <x:c r="J200"/>
      <x:c r="K200" t="str">
        <x:v>20%</x:v>
      </x:c>
      <x:c r="L200" t="n">
        <x:v>50</x:v>
      </x:c>
      <x:c r="M200"/>
      <x:c r="N200"/>
      <x:c r="O200"/>
      <x:c r="P200" t="str">
        <x:v>D+2</x:v>
      </x:c>
      <x:c r="Q200" t="str">
        <x:v>seg/qua/sex ou seg a sext; revisar</x:v>
      </x:c>
      <x:c r="R200" t="str">
        <x:v>ORIGINAL</x:v>
      </x:c>
      <x:c r="S200" t="str">
        <x:v>NÃO</x:v>
      </x:c>
      <x:c r="T200" t="str">
        <x:v>REVISAR_OK</x:v>
      </x:c>
      <x:c r="U200" t="str">
        <x:v>TABELA EUNUQUES LOPES.pdf</x:v>
      </x:c>
      <x:c r="V200" t="str">
        <x:v>1</x:v>
      </x:c>
      <x:c r="W200" t="str">
        <x:v>Fonte E&amp;M Transportes; usuário informou vínculo operacional EM Lopes/Eunuques. Regra cadastrada para o CNPJ do XML.</x:v>
      </x:c>
      <x:c r="X200"/>
      <x:c r="Y200"/>
      <x:c r="Z200"/>
      <x:c r="AA200"/>
      <x:c r="AB200"/>
      <x:c r="AC200" t="str">
        <x:v>SIM</x:v>
      </x:c>
      <x:c r="AD200" t="str">
        <x:v>EM LOPES</x:v>
      </x:c>
      <x:c r="AE200" t="str">
        <x:v>PERCENTUAL</x:v>
      </x:c>
      <x:c r="AF200"/>
      <x:c r="AG200" t="str">
        <x:v>2.6.46</x:v>
      </x:c>
      <x:c r="AH200" t="str">
        <x:v>Frete base × percentual; aplicar frete mínimo quando maior. Bloco percentual ativado; controle visual passivo.</x:v>
      </x:c>
      <x:c r="AI200"/>
    </x:row>
    <x:row r="201">
      <x:c r="A201" t="str">
        <x:v>EUNUQUES_LOPES_0008</x:v>
      </x:c>
      <x:c r="B201" t="str">
        <x:v>EUNUQUES_LOPES</x:v>
      </x:c>
      <x:c r="C201"/>
      <x:c r="D201"/>
      <x:c r="E201" t="str">
        <x:v>Paragominas</x:v>
      </x:c>
      <x:c r="F201" t="str">
        <x:v>PA</x:v>
      </x:c>
      <x:c r="G201" t="str">
        <x:v>Dom Eliseu</x:v>
      </x:c>
      <x:c r="H201" t="str">
        <x:v>PA</x:v>
      </x:c>
      <x:c r="I201" t="str">
        <x:v>PARAGOMINAS</x:v>
      </x:c>
      <x:c r="J201"/>
      <x:c r="K201" t="str">
        <x:v>20%</x:v>
      </x:c>
      <x:c r="L201" t="n">
        <x:v>50</x:v>
      </x:c>
      <x:c r="M201"/>
      <x:c r="N201"/>
      <x:c r="O201"/>
      <x:c r="P201" t="str">
        <x:v>D+2</x:v>
      </x:c>
      <x:c r="Q201" t="str">
        <x:v>seg/qua/sex ou seg a sext; revisar</x:v>
      </x:c>
      <x:c r="R201" t="str">
        <x:v>ORIGINAL</x:v>
      </x:c>
      <x:c r="S201" t="str">
        <x:v>NÃO</x:v>
      </x:c>
      <x:c r="T201" t="str">
        <x:v>REVISAR_OK</x:v>
      </x:c>
      <x:c r="U201" t="str">
        <x:v>TABELA EUNUQUES LOPES.pdf</x:v>
      </x:c>
      <x:c r="V201" t="str">
        <x:v>1</x:v>
      </x:c>
      <x:c r="W201" t="str">
        <x:v>Fonte E&amp;M Transportes; usuário informou vínculo operacional EM Lopes/Eunuques. Regra cadastrada para o CNPJ do XML.</x:v>
      </x:c>
      <x:c r="X201"/>
      <x:c r="Y201"/>
      <x:c r="Z201"/>
      <x:c r="AA201"/>
      <x:c r="AB201"/>
      <x:c r="AC201" t="str">
        <x:v>SIM</x:v>
      </x:c>
      <x:c r="AD201" t="str">
        <x:v>EM LOPES</x:v>
      </x:c>
      <x:c r="AE201" t="str">
        <x:v>PERCENTUAL</x:v>
      </x:c>
      <x:c r="AF201"/>
      <x:c r="AG201" t="str">
        <x:v>2.6.46</x:v>
      </x:c>
      <x:c r="AH201" t="str">
        <x:v>Frete base × percentual; aplicar frete mínimo quando maior. Bloco percentual ativado; controle visual passivo.</x:v>
      </x:c>
      <x:c r="AI201"/>
    </x:row>
    <x:row r="202">
      <x:c r="A202" t="str">
        <x:v>EUNUQUES_LOPES_0009</x:v>
      </x:c>
      <x:c r="B202" t="str">
        <x:v>EUNUQUES_LOPES</x:v>
      </x:c>
      <x:c r="C202"/>
      <x:c r="D202"/>
      <x:c r="E202" t="str">
        <x:v>Paragominas</x:v>
      </x:c>
      <x:c r="F202" t="str">
        <x:v>PA</x:v>
      </x:c>
      <x:c r="G202" t="str">
        <x:v>Ulianópolis</x:v>
      </x:c>
      <x:c r="H202" t="str">
        <x:v>PA</x:v>
      </x:c>
      <x:c r="I202" t="str">
        <x:v>PARAGOMINAS</x:v>
      </x:c>
      <x:c r="J202"/>
      <x:c r="K202" t="str">
        <x:v>20%</x:v>
      </x:c>
      <x:c r="L202" t="n">
        <x:v>50</x:v>
      </x:c>
      <x:c r="M202"/>
      <x:c r="N202"/>
      <x:c r="O202"/>
      <x:c r="P202" t="str">
        <x:v>D+2</x:v>
      </x:c>
      <x:c r="Q202" t="str">
        <x:v>seg/qua/sex ou seg a sext; revisar</x:v>
      </x:c>
      <x:c r="R202" t="str">
        <x:v>ORIGINAL</x:v>
      </x:c>
      <x:c r="S202" t="str">
        <x:v>NÃO</x:v>
      </x:c>
      <x:c r="T202" t="str">
        <x:v>REVISAR_OK</x:v>
      </x:c>
      <x:c r="U202" t="str">
        <x:v>TABELA EUNUQUES LOPES.pdf</x:v>
      </x:c>
      <x:c r="V202" t="str">
        <x:v>1</x:v>
      </x:c>
      <x:c r="W202" t="str">
        <x:v>Fonte E&amp;M Transportes; usuário informou vínculo operacional EM Lopes/Eunuques. Regra cadastrada para o CNPJ do XML.</x:v>
      </x:c>
      <x:c r="X202"/>
      <x:c r="Y202"/>
      <x:c r="Z202"/>
      <x:c r="AA202"/>
      <x:c r="AB202"/>
      <x:c r="AC202" t="str">
        <x:v>SIM</x:v>
      </x:c>
      <x:c r="AD202" t="str">
        <x:v>EM LOPES</x:v>
      </x:c>
      <x:c r="AE202" t="str">
        <x:v>PERCENTUAL</x:v>
      </x:c>
      <x:c r="AF202"/>
      <x:c r="AG202" t="str">
        <x:v>2.6.46</x:v>
      </x:c>
      <x:c r="AH202" t="str">
        <x:v>Frete base × percentual; aplicar frete mínimo quando maior. Bloco percentual ativado; controle visual passivo.</x:v>
      </x:c>
      <x:c r="AI202"/>
    </x:row>
    <x:row r="203">
      <x:c r="A203" t="str">
        <x:v>EUNUQUES_LOPES_0010</x:v>
      </x:c>
      <x:c r="B203" t="str">
        <x:v>EUNUQUES_LOPES</x:v>
      </x:c>
      <x:c r="C203"/>
      <x:c r="D203"/>
      <x:c r="E203" t="str">
        <x:v>Paragominas</x:v>
      </x:c>
      <x:c r="F203" t="str">
        <x:v>PA</x:v>
      </x:c>
      <x:c r="G203" t="str">
        <x:v>Vila Canaã</x:v>
      </x:c>
      <x:c r="H203" t="str">
        <x:v>PA</x:v>
      </x:c>
      <x:c r="I203" t="str">
        <x:v>PARAGOMINAS</x:v>
      </x:c>
      <x:c r="J203"/>
      <x:c r="K203" t="str">
        <x:v>20%</x:v>
      </x:c>
      <x:c r="L203" t="n">
        <x:v>60</x:v>
      </x:c>
      <x:c r="M203"/>
      <x:c r="N203"/>
      <x:c r="O203"/>
      <x:c r="P203" t="str">
        <x:v>D+3</x:v>
      </x:c>
      <x:c r="Q203" t="str">
        <x:v>seg/qua/sex ou seg a sext; revisar</x:v>
      </x:c>
      <x:c r="R203" t="str">
        <x:v>ORIGINAL</x:v>
      </x:c>
      <x:c r="S203" t="str">
        <x:v>NÃO</x:v>
      </x:c>
      <x:c r="T203" t="str">
        <x:v>REVISAR_OK</x:v>
      </x:c>
      <x:c r="U203" t="str">
        <x:v>TABELA EUNUQUES LOPES.pdf</x:v>
      </x:c>
      <x:c r="V203" t="str">
        <x:v>1</x:v>
      </x:c>
      <x:c r="W203" t="str">
        <x:v>Fonte E&amp;M Transportes; usuário informou vínculo operacional EM Lopes/Eunuques. Regra cadastrada para o CNPJ do XML.</x:v>
      </x:c>
      <x:c r="X203"/>
      <x:c r="Y203"/>
      <x:c r="Z203"/>
      <x:c r="AA203"/>
      <x:c r="AB203"/>
      <x:c r="AC203" t="str">
        <x:v>SIM</x:v>
      </x:c>
      <x:c r="AD203" t="str">
        <x:v>EM LOPES</x:v>
      </x:c>
      <x:c r="AE203" t="str">
        <x:v>PERCENTUAL</x:v>
      </x:c>
      <x:c r="AF203"/>
      <x:c r="AG203" t="str">
        <x:v>2.6.46</x:v>
      </x:c>
      <x:c r="AH203" t="str">
        <x:v>Frete base × percentual; aplicar frete mínimo quando maior. Bloco percentual ativado; controle visual passivo.</x:v>
      </x:c>
      <x:c r="AI203"/>
    </x:row>
    <x:row r="204">
      <x:c r="A204" t="str">
        <x:v>EUNUQUES_LOPES_0011</x:v>
      </x:c>
      <x:c r="B204" t="str">
        <x:v>EUNUQUES_LOPES</x:v>
      </x:c>
      <x:c r="C204"/>
      <x:c r="D204"/>
      <x:c r="E204" t="str">
        <x:v>Paragominas</x:v>
      </x:c>
      <x:c r="F204" t="str">
        <x:v>PA</x:v>
      </x:c>
      <x:c r="G204" t="str">
        <x:v>Ipixuna</x:v>
      </x:c>
      <x:c r="H204" t="str">
        <x:v>PA</x:v>
      </x:c>
      <x:c r="I204" t="str">
        <x:v>PARAGOMINAS</x:v>
      </x:c>
      <x:c r="J204"/>
      <x:c r="K204" t="str">
        <x:v>20%</x:v>
      </x:c>
      <x:c r="L204" t="n">
        <x:v>60</x:v>
      </x:c>
      <x:c r="M204"/>
      <x:c r="N204"/>
      <x:c r="O204"/>
      <x:c r="P204" t="str">
        <x:v>D+2</x:v>
      </x:c>
      <x:c r="Q204" t="str">
        <x:v>seg/qua/sex ou seg a sext; revisar</x:v>
      </x:c>
      <x:c r="R204" t="str">
        <x:v>ORIGINAL</x:v>
      </x:c>
      <x:c r="S204" t="str">
        <x:v>NÃO</x:v>
      </x:c>
      <x:c r="T204" t="str">
        <x:v>REVISAR_OK</x:v>
      </x:c>
      <x:c r="U204" t="str">
        <x:v>TABELA EUNUQUES LOPES.pdf</x:v>
      </x:c>
      <x:c r="V204" t="str">
        <x:v>1</x:v>
      </x:c>
      <x:c r="W204" t="str">
        <x:v>Fonte E&amp;M Transportes; usuário informou vínculo operacional EM Lopes/Eunuques. Regra cadastrada para o CNPJ do XML.</x:v>
      </x:c>
      <x:c r="X204"/>
      <x:c r="Y204"/>
      <x:c r="Z204"/>
      <x:c r="AA204"/>
      <x:c r="AB204"/>
      <x:c r="AC204" t="str">
        <x:v>SIM</x:v>
      </x:c>
      <x:c r="AD204" t="str">
        <x:v>EM LOPES</x:v>
      </x:c>
      <x:c r="AE204" t="str">
        <x:v>PERCENTUAL</x:v>
      </x:c>
      <x:c r="AF204"/>
      <x:c r="AG204" t="str">
        <x:v>2.6.46</x:v>
      </x:c>
      <x:c r="AH204" t="str">
        <x:v>Frete base × percentual; aplicar frete mínimo quando maior. Bloco percentual ativado; controle visual passivo.</x:v>
      </x:c>
      <x:c r="AI204"/>
    </x:row>
    <x:row r="205">
      <x:c r="A205" t="str">
        <x:v>EUNUQUES_LOPES_0012</x:v>
      </x:c>
      <x:c r="B205" t="str">
        <x:v>EUNUQUES_LOPES</x:v>
      </x:c>
      <x:c r="C205"/>
      <x:c r="D205"/>
      <x:c r="E205" t="str">
        <x:v>Paragominas</x:v>
      </x:c>
      <x:c r="F205" t="str">
        <x:v>PA</x:v>
      </x:c>
      <x:c r="G205" t="str">
        <x:v>Aurora do Pará</x:v>
      </x:c>
      <x:c r="H205" t="str">
        <x:v>PA</x:v>
      </x:c>
      <x:c r="I205" t="str">
        <x:v>PARAGOMINAS</x:v>
      </x:c>
      <x:c r="J205"/>
      <x:c r="K205" t="str">
        <x:v>25%</x:v>
      </x:c>
      <x:c r="L205" t="n">
        <x:v>60</x:v>
      </x:c>
      <x:c r="M205"/>
      <x:c r="N205"/>
      <x:c r="O205"/>
      <x:c r="P205" t="str">
        <x:v>D+2</x:v>
      </x:c>
      <x:c r="Q205" t="str">
        <x:v>seg/qua/sex ou seg a sext; revisar</x:v>
      </x:c>
      <x:c r="R205" t="str">
        <x:v>ORIGINAL</x:v>
      </x:c>
      <x:c r="S205" t="str">
        <x:v>NÃO</x:v>
      </x:c>
      <x:c r="T205" t="str">
        <x:v>REVISAR_OK</x:v>
      </x:c>
      <x:c r="U205" t="str">
        <x:v>TABELA EUNUQUES LOPES.pdf</x:v>
      </x:c>
      <x:c r="V205" t="str">
        <x:v>1</x:v>
      </x:c>
      <x:c r="W205" t="str">
        <x:v>Fonte E&amp;M Transportes; usuário informou vínculo operacional EM Lopes/Eunuques. Regra cadastrada para o CNPJ do XML.</x:v>
      </x:c>
      <x:c r="X205"/>
      <x:c r="Y205"/>
      <x:c r="Z205"/>
      <x:c r="AA205"/>
      <x:c r="AB205"/>
      <x:c r="AC205" t="str">
        <x:v>SIM</x:v>
      </x:c>
      <x:c r="AD205" t="str">
        <x:v>EM LOPES</x:v>
      </x:c>
      <x:c r="AE205" t="str">
        <x:v>PERCENTUAL</x:v>
      </x:c>
      <x:c r="AF205"/>
      <x:c r="AG205" t="str">
        <x:v>2.6.46</x:v>
      </x:c>
      <x:c r="AH205" t="str">
        <x:v>Frete base × percentual; aplicar frete mínimo quando maior. Bloco percentual ativado; controle visual passivo.</x:v>
      </x:c>
      <x:c r="AI205"/>
    </x:row>
    <x:row r="206">
      <x:c r="A206" t="str">
        <x:v>EUNUQUES_LOPES_0013</x:v>
      </x:c>
      <x:c r="B206" t="str">
        <x:v>EUNUQUES_LOPES</x:v>
      </x:c>
      <x:c r="C206"/>
      <x:c r="D206"/>
      <x:c r="E206" t="str">
        <x:v>Paragominas</x:v>
      </x:c>
      <x:c r="F206" t="str">
        <x:v>PA</x:v>
      </x:c>
      <x:c r="G206" t="str">
        <x:v>Mãe do Rio</x:v>
      </x:c>
      <x:c r="H206" t="str">
        <x:v>PA</x:v>
      </x:c>
      <x:c r="I206" t="str">
        <x:v>PARAGOMINAS</x:v>
      </x:c>
      <x:c r="J206"/>
      <x:c r="K206" t="str">
        <x:v>20%</x:v>
      </x:c>
      <x:c r="L206" t="n">
        <x:v>70</x:v>
      </x:c>
      <x:c r="M206"/>
      <x:c r="N206"/>
      <x:c r="O206"/>
      <x:c r="P206" t="str">
        <x:v>D+2</x:v>
      </x:c>
      <x:c r="Q206" t="str">
        <x:v>seg/qua/sex ou seg a sext; revisar</x:v>
      </x:c>
      <x:c r="R206" t="str">
        <x:v>ORIGINAL</x:v>
      </x:c>
      <x:c r="S206" t="str">
        <x:v>NÃO</x:v>
      </x:c>
      <x:c r="T206" t="str">
        <x:v>REVISAR_OK</x:v>
      </x:c>
      <x:c r="U206" t="str">
        <x:v>TABELA EUNUQUES LOPES.pdf</x:v>
      </x:c>
      <x:c r="V206" t="str">
        <x:v>1</x:v>
      </x:c>
      <x:c r="W206" t="str">
        <x:v>Fonte E&amp;M Transportes; usuário informou vínculo operacional EM Lopes/Eunuques. Regra cadastrada para o CNPJ do XML.</x:v>
      </x:c>
      <x:c r="X206"/>
      <x:c r="Y206"/>
      <x:c r="Z206"/>
      <x:c r="AA206"/>
      <x:c r="AB206"/>
      <x:c r="AC206" t="str">
        <x:v>SIM</x:v>
      </x:c>
      <x:c r="AD206" t="str">
        <x:v>EM LOPES</x:v>
      </x:c>
      <x:c r="AE206" t="str">
        <x:v>PERCENTUAL</x:v>
      </x:c>
      <x:c r="AF206"/>
      <x:c r="AG206" t="str">
        <x:v>2.6.46</x:v>
      </x:c>
      <x:c r="AH206" t="str">
        <x:v>Frete base × percentual; aplicar frete mínimo quando maior. Bloco percentual ativado; controle visual passivo.</x:v>
      </x:c>
      <x:c r="AI206"/>
    </x:row>
    <x:row r="207">
      <x:c r="A207" t="str">
        <x:v>EUNUQUES_LOPES_0014</x:v>
      </x:c>
      <x:c r="B207" t="str">
        <x:v>EUNUQUES_LOPES</x:v>
      </x:c>
      <x:c r="C207"/>
      <x:c r="D207"/>
      <x:c r="E207" t="str">
        <x:v>Paragominas</x:v>
      </x:c>
      <x:c r="F207" t="str">
        <x:v>PA</x:v>
      </x:c>
      <x:c r="G207" t="str">
        <x:v>São Miguel</x:v>
      </x:c>
      <x:c r="H207" t="str">
        <x:v>PA</x:v>
      </x:c>
      <x:c r="I207" t="str">
        <x:v>PARAGOMINAS</x:v>
      </x:c>
      <x:c r="J207"/>
      <x:c r="K207" t="str">
        <x:v>28%</x:v>
      </x:c>
      <x:c r="L207" t="n">
        <x:v>70</x:v>
      </x:c>
      <x:c r="M207"/>
      <x:c r="N207"/>
      <x:c r="O207"/>
      <x:c r="P207" t="str">
        <x:v>D+2</x:v>
      </x:c>
      <x:c r="Q207" t="str">
        <x:v>seg/qua/sex ou seg a sext; revisar</x:v>
      </x:c>
      <x:c r="R207" t="str">
        <x:v>ORIGINAL</x:v>
      </x:c>
      <x:c r="S207" t="str">
        <x:v>NÃO</x:v>
      </x:c>
      <x:c r="T207" t="str">
        <x:v>REVISAR_OK</x:v>
      </x:c>
      <x:c r="U207" t="str">
        <x:v>TABELA EUNUQUES LOPES.pdf</x:v>
      </x:c>
      <x:c r="V207" t="str">
        <x:v>1</x:v>
      </x:c>
      <x:c r="W207" t="str">
        <x:v>Fonte E&amp;M Transportes; usuário informou vínculo operacional EM Lopes/Eunuques. Regra cadastrada para o CNPJ do XML.</x:v>
      </x:c>
      <x:c r="X207"/>
      <x:c r="Y207"/>
      <x:c r="Z207"/>
      <x:c r="AA207"/>
      <x:c r="AB207"/>
      <x:c r="AC207" t="str">
        <x:v>SIM</x:v>
      </x:c>
      <x:c r="AD207" t="str">
        <x:v>EM LOPES</x:v>
      </x:c>
      <x:c r="AE207" t="str">
        <x:v>PERCENTUAL</x:v>
      </x:c>
      <x:c r="AF207"/>
      <x:c r="AG207" t="str">
        <x:v>2.6.46</x:v>
      </x:c>
      <x:c r="AH207" t="str">
        <x:v>Frete base × percentual; aplicar frete mínimo quando maior. Bloco percentual ativado; controle visual passivo.</x:v>
      </x:c>
      <x:c r="AI207"/>
    </x:row>
    <x:row r="208">
      <x:c r="A208" t="str">
        <x:v>EUNUQUES_LOPES_0015</x:v>
      </x:c>
      <x:c r="B208" t="str">
        <x:v>EUNUQUES_LOPES</x:v>
      </x:c>
      <x:c r="C208"/>
      <x:c r="D208"/>
      <x:c r="E208" t="str">
        <x:v>Paragominas</x:v>
      </x:c>
      <x:c r="F208" t="str">
        <x:v>PA</x:v>
      </x:c>
      <x:c r="G208" t="str">
        <x:v>Santa Maria</x:v>
      </x:c>
      <x:c r="H208" t="str">
        <x:v>PA</x:v>
      </x:c>
      <x:c r="I208" t="str">
        <x:v>PARAGOMINAS</x:v>
      </x:c>
      <x:c r="J208"/>
      <x:c r="K208" t="str">
        <x:v>28%</x:v>
      </x:c>
      <x:c r="L208" t="n">
        <x:v>70</x:v>
      </x:c>
      <x:c r="M208"/>
      <x:c r="N208"/>
      <x:c r="O208"/>
      <x:c r="P208" t="str">
        <x:v>D+2</x:v>
      </x:c>
      <x:c r="Q208" t="str">
        <x:v>seg/qua/sex ou seg a sext; revisar</x:v>
      </x:c>
      <x:c r="R208" t="str">
        <x:v>ORIGINAL</x:v>
      </x:c>
      <x:c r="S208" t="str">
        <x:v>NÃO</x:v>
      </x:c>
      <x:c r="T208" t="str">
        <x:v>REVISAR_OK</x:v>
      </x:c>
      <x:c r="U208" t="str">
        <x:v>TABELA EUNUQUES LOPES.pdf</x:v>
      </x:c>
      <x:c r="V208" t="str">
        <x:v>1</x:v>
      </x:c>
      <x:c r="W208" t="str">
        <x:v>Fonte E&amp;M Transportes; usuário informou vínculo operacional EM Lopes/Eunuques. Regra cadastrada para o CNPJ do XML.</x:v>
      </x:c>
      <x:c r="X208"/>
      <x:c r="Y208"/>
      <x:c r="Z208"/>
      <x:c r="AA208"/>
      <x:c r="AB208"/>
      <x:c r="AC208" t="str">
        <x:v>SIM</x:v>
      </x:c>
      <x:c r="AD208" t="str">
        <x:v>EM LOPES</x:v>
      </x:c>
      <x:c r="AE208" t="str">
        <x:v>PERCENTUAL</x:v>
      </x:c>
      <x:c r="AF208"/>
      <x:c r="AG208" t="str">
        <x:v>2.6.46</x:v>
      </x:c>
      <x:c r="AH208" t="str">
        <x:v>Frete base × percentual; aplicar frete mínimo quando maior. Bloco percentual ativado; controle visual passivo.</x:v>
      </x:c>
      <x:c r="AI208"/>
    </x:row>
    <x:row r="209">
      <x:c r="A209" t="str">
        <x:v>EUNUQUES_LOPES_0016</x:v>
      </x:c>
      <x:c r="B209" t="str">
        <x:v>EUNUQUES_LOPES</x:v>
      </x:c>
      <x:c r="C209"/>
      <x:c r="D209"/>
      <x:c r="E209" t="str">
        <x:v>Paragominas</x:v>
      </x:c>
      <x:c r="F209" t="str">
        <x:v>PA</x:v>
      </x:c>
      <x:c r="G209" t="str">
        <x:v>Castanhal</x:v>
      </x:c>
      <x:c r="H209" t="str">
        <x:v>PA</x:v>
      </x:c>
      <x:c r="I209" t="str">
        <x:v>PARAGOMINAS</x:v>
      </x:c>
      <x:c r="J209"/>
      <x:c r="K209" t="str">
        <x:v>28%</x:v>
      </x:c>
      <x:c r="L209" t="n">
        <x:v>70</x:v>
      </x:c>
      <x:c r="M209"/>
      <x:c r="N209"/>
      <x:c r="O209"/>
      <x:c r="P209" t="str">
        <x:v>D+2</x:v>
      </x:c>
      <x:c r="Q209" t="str">
        <x:v>seg/qua/sex ou seg a sext; revisar</x:v>
      </x:c>
      <x:c r="R209" t="str">
        <x:v>ORIGINAL</x:v>
      </x:c>
      <x:c r="S209" t="str">
        <x:v>NÃO</x:v>
      </x:c>
      <x:c r="T209" t="str">
        <x:v>REVISAR_OK</x:v>
      </x:c>
      <x:c r="U209" t="str">
        <x:v>TABELA EUNUQUES LOPES.pdf</x:v>
      </x:c>
      <x:c r="V209" t="str">
        <x:v>1</x:v>
      </x:c>
      <x:c r="W209" t="str">
        <x:v>Fonte E&amp;M Transportes; usuário informou vínculo operacional EM Lopes/Eunuques. Regra cadastrada para o CNPJ do XML.</x:v>
      </x:c>
      <x:c r="X209"/>
      <x:c r="Y209"/>
      <x:c r="Z209"/>
      <x:c r="AA209"/>
      <x:c r="AB209"/>
      <x:c r="AC209" t="str">
        <x:v>SIM</x:v>
      </x:c>
      <x:c r="AD209" t="str">
        <x:v>EM LOPES</x:v>
      </x:c>
      <x:c r="AE209" t="str">
        <x:v>PERCENTUAL</x:v>
      </x:c>
      <x:c r="AF209"/>
      <x:c r="AG209" t="str">
        <x:v>2.6.46</x:v>
      </x:c>
      <x:c r="AH209" t="str">
        <x:v>Frete base × percentual; aplicar frete mínimo quando maior. Bloco percentual ativado; controle visual passivo.</x:v>
      </x:c>
      <x:c r="AI209"/>
    </x:row>
    <x:row r="210">
      <x:c r="A210" t="str">
        <x:v>EUNUQUES_LOPES_0017</x:v>
      </x:c>
      <x:c r="B210" t="str">
        <x:v>EUNUQUES_LOPES</x:v>
      </x:c>
      <x:c r="C210"/>
      <x:c r="D210"/>
      <x:c r="E210" t="str">
        <x:v>Paragominas</x:v>
      </x:c>
      <x:c r="F210" t="str">
        <x:v>PA</x:v>
      </x:c>
      <x:c r="G210" t="str">
        <x:v>Itinga/MA</x:v>
      </x:c>
      <x:c r="H210" t="str">
        <x:v>PA</x:v>
      </x:c>
      <x:c r="I210" t="str">
        <x:v>PARAGOMINAS</x:v>
      </x:c>
      <x:c r="J210"/>
      <x:c r="K210" t="str">
        <x:v>25%</x:v>
      </x:c>
      <x:c r="L210" t="n">
        <x:v>70</x:v>
      </x:c>
      <x:c r="M210"/>
      <x:c r="N210"/>
      <x:c r="O210"/>
      <x:c r="P210" t="str">
        <x:v>D+2</x:v>
      </x:c>
      <x:c r="Q210" t="str">
        <x:v>seg/qua/sex ou seg a sext; revisar</x:v>
      </x:c>
      <x:c r="R210" t="str">
        <x:v>ORIGINAL</x:v>
      </x:c>
      <x:c r="S210" t="str">
        <x:v>NÃO</x:v>
      </x:c>
      <x:c r="T210" t="str">
        <x:v>REVISAR_OK</x:v>
      </x:c>
      <x:c r="U210" t="str">
        <x:v>TABELA EUNUQUES LOPES.pdf</x:v>
      </x:c>
      <x:c r="V210" t="str">
        <x:v>1</x:v>
      </x:c>
      <x:c r="W210" t="str">
        <x:v>Fonte E&amp;M Transportes; usuário informou vínculo operacional EM Lopes/Eunuques. Regra cadastrada para o CNPJ do XML.</x:v>
      </x:c>
      <x:c r="X210"/>
      <x:c r="Y210"/>
      <x:c r="Z210"/>
      <x:c r="AA210"/>
      <x:c r="AB210"/>
      <x:c r="AC210" t="str">
        <x:v>SIM</x:v>
      </x:c>
      <x:c r="AD210" t="str">
        <x:v>EM LOPES</x:v>
      </x:c>
      <x:c r="AE210" t="str">
        <x:v>PERCENTUAL</x:v>
      </x:c>
      <x:c r="AF210"/>
      <x:c r="AG210" t="str">
        <x:v>2.6.46</x:v>
      </x:c>
      <x:c r="AH210" t="str">
        <x:v>Frete base × percentual; aplicar frete mínimo quando maior. Bloco percentual ativado; controle visual passivo.</x:v>
      </x:c>
      <x:c r="AI210"/>
    </x:row>
    <x:row r="211">
      <x:c r="A211" t="str">
        <x:v>EUNUQUES_LOPES_0018</x:v>
      </x:c>
      <x:c r="B211" t="str">
        <x:v>EUNUQUES_LOPES</x:v>
      </x:c>
      <x:c r="C211"/>
      <x:c r="D211"/>
      <x:c r="E211" t="str">
        <x:v>Paragominas</x:v>
      </x:c>
      <x:c r="F211" t="str">
        <x:v>PA</x:v>
      </x:c>
      <x:c r="G211" t="str">
        <x:v>Açailândia</x:v>
      </x:c>
      <x:c r="H211" t="str">
        <x:v>PA</x:v>
      </x:c>
      <x:c r="I211" t="str">
        <x:v>PARAGOMINAS</x:v>
      </x:c>
      <x:c r="J211"/>
      <x:c r="K211" t="str">
        <x:v>28%</x:v>
      </x:c>
      <x:c r="L211" t="n">
        <x:v>70</x:v>
      </x:c>
      <x:c r="M211"/>
      <x:c r="N211"/>
      <x:c r="O211"/>
      <x:c r="P211" t="str">
        <x:v>D+2</x:v>
      </x:c>
      <x:c r="Q211" t="str">
        <x:v>seg/qua/sex ou seg a sext; revisar</x:v>
      </x:c>
      <x:c r="R211" t="str">
        <x:v>ORIGINAL</x:v>
      </x:c>
      <x:c r="S211" t="str">
        <x:v>NÃO</x:v>
      </x:c>
      <x:c r="T211" t="str">
        <x:v>REVISAR_OK</x:v>
      </x:c>
      <x:c r="U211" t="str">
        <x:v>TABELA EUNUQUES LOPES.pdf</x:v>
      </x:c>
      <x:c r="V211" t="str">
        <x:v>1</x:v>
      </x:c>
      <x:c r="W211" t="str">
        <x:v>Fonte E&amp;M Transportes; usuário informou vínculo operacional EM Lopes/Eunuques. Regra cadastrada para o CNPJ do XML.</x:v>
      </x:c>
      <x:c r="X211"/>
      <x:c r="Y211"/>
      <x:c r="Z211"/>
      <x:c r="AA211"/>
      <x:c r="AB211"/>
      <x:c r="AC211" t="str">
        <x:v>SIM</x:v>
      </x:c>
      <x:c r="AD211" t="str">
        <x:v>EM LOPES</x:v>
      </x:c>
      <x:c r="AE211" t="str">
        <x:v>PERCENTUAL</x:v>
      </x:c>
      <x:c r="AF211"/>
      <x:c r="AG211" t="str">
        <x:v>2.6.46</x:v>
      </x:c>
      <x:c r="AH211" t="str">
        <x:v>Frete base × percentual; aplicar frete mínimo quando maior. Bloco percentual ativado; controle visual passivo.</x:v>
      </x:c>
      <x:c r="AI211"/>
    </x:row>
    <x:row r="212">
      <x:c r="A212" t="str">
        <x:v>EUNUQUES_LOPES_0019</x:v>
      </x:c>
      <x:c r="B212" t="str">
        <x:v>EUNUQUES_LOPES</x:v>
      </x:c>
      <x:c r="C212"/>
      <x:c r="D212"/>
      <x:c r="E212" t="str">
        <x:v>Paragominas</x:v>
      </x:c>
      <x:c r="F212" t="str">
        <x:v>PA</x:v>
      </x:c>
      <x:c r="G212" t="str">
        <x:v>Imperatriz</x:v>
      </x:c>
      <x:c r="H212" t="str">
        <x:v>PA</x:v>
      </x:c>
      <x:c r="I212" t="str">
        <x:v>PARAGOMINAS</x:v>
      </x:c>
      <x:c r="J212"/>
      <x:c r="K212" t="str">
        <x:v>28%</x:v>
      </x:c>
      <x:c r="L212" t="n">
        <x:v>70</x:v>
      </x:c>
      <x:c r="M212"/>
      <x:c r="N212"/>
      <x:c r="O212"/>
      <x:c r="P212" t="str">
        <x:v>D+2</x:v>
      </x:c>
      <x:c r="Q212" t="str">
        <x:v>seg/qua/sex ou seg a sext; revisar</x:v>
      </x:c>
      <x:c r="R212" t="str">
        <x:v>ORIGINAL</x:v>
      </x:c>
      <x:c r="S212" t="str">
        <x:v>NÃO</x:v>
      </x:c>
      <x:c r="T212" t="str">
        <x:v>REVISAR_OK</x:v>
      </x:c>
      <x:c r="U212" t="str">
        <x:v>TABELA EUNUQUES LOPES.pdf</x:v>
      </x:c>
      <x:c r="V212" t="str">
        <x:v>1</x:v>
      </x:c>
      <x:c r="W212" t="str">
        <x:v>Fonte E&amp;M Transportes; usuário informou vínculo operacional EM Lopes/Eunuques. Regra cadastrada para o CNPJ do XML.</x:v>
      </x:c>
      <x:c r="X212"/>
      <x:c r="Y212"/>
      <x:c r="Z212"/>
      <x:c r="AA212"/>
      <x:c r="AB212"/>
      <x:c r="AC212" t="str">
        <x:v>SIM</x:v>
      </x:c>
      <x:c r="AD212" t="str">
        <x:v>EM LOPES</x:v>
      </x:c>
      <x:c r="AE212" t="str">
        <x:v>PERCENTUAL</x:v>
      </x:c>
      <x:c r="AF212"/>
      <x:c r="AG212" t="str">
        <x:v>2.6.46</x:v>
      </x:c>
      <x:c r="AH212" t="str">
        <x:v>Frete base × percentual; aplicar frete mínimo quando maior. Bloco percentual ativado; controle visual passivo.</x:v>
      </x:c>
      <x:c r="AI212"/>
    </x:row>
    <x:row r="213">
      <x:c r="A213" t="str">
        <x:v>MF_LOBATO_0001</x:v>
      </x:c>
      <x:c r="B213" t="str">
        <x:v>MF_LOBATO</x:v>
      </x:c>
      <x:c r="C213"/>
      <x:c r="D213"/>
      <x:c r="E213" t="str">
        <x:v>Belém</x:v>
      </x:c>
      <x:c r="F213" t="str">
        <x:v>PA</x:v>
      </x:c>
      <x:c r="G213" t="str">
        <x:v>Gurupá</x:v>
      </x:c>
      <x:c r="H213" t="str">
        <x:v>PA</x:v>
      </x:c>
      <x:c r="I213" t="str">
        <x:v>MARAJO CARGAS LOCALIDADES</x:v>
      </x:c>
      <x:c r="J213" t="str">
        <x:v>Tabela percentual</x:v>
      </x:c>
      <x:c r="K213" t="str">
        <x:v>35%</x:v>
      </x:c>
      <x:c r="L213" t="n">
        <x:v>40</x:v>
      </x:c>
      <x:c r="M213"/>
      <x:c r="N213"/>
      <x:c r="O213"/>
      <x:c r="P213" t="str">
        <x:v>3 A 4 DIAS</x:v>
      </x:c>
      <x:c r="Q213"/>
      <x:c r="R213" t="str">
        <x:v>ORIGINAL</x:v>
      </x:c>
      <x:c r="S213" t="str">
        <x:v>NÃO</x:v>
      </x:c>
      <x:c r="T213" t="str">
        <x:v>REVISAR_OK</x:v>
      </x:c>
      <x:c r="U213" t="str">
        <x:v>TABELA MARAJO CARGAS (MF LOBATO).pdf</x:v>
      </x:c>
      <x:c r="V213" t="str">
        <x:v>2</x:v>
      </x:c>
      <x:c r="W213" t="str">
        <x:v>Cadastrado a partir da tabela Marajó Cargas / M. F. Lobato enviada como fonte.</x:v>
      </x:c>
      <x:c r="X213"/>
      <x:c r="Y213"/>
      <x:c r="Z213"/>
      <x:c r="AA213"/>
      <x:c r="AB213"/>
      <x:c r="AC213" t="str">
        <x:v>SIM</x:v>
      </x:c>
      <x:c r="AD213" t="str">
        <x:v>M. F. LOBATO</x:v>
      </x:c>
      <x:c r="AE213" t="str">
        <x:v>PERCENTUAL</x:v>
      </x:c>
      <x:c r="AF213"/>
      <x:c r="AG213" t="str">
        <x:v>2.6.46</x:v>
      </x:c>
      <x:c r="AH213" t="str">
        <x:v>Frete base × percentual; aplicar frete mínimo quando maior. Bloco percentual ativado; controle visual passivo.</x:v>
      </x:c>
      <x:c r="AI213"/>
    </x:row>
    <x:row r="214">
      <x:c r="A214" t="str">
        <x:v>MF_LOBATO_0002</x:v>
      </x:c>
      <x:c r="B214" t="str">
        <x:v>MF_LOBATO</x:v>
      </x:c>
      <x:c r="C214"/>
      <x:c r="D214"/>
      <x:c r="E214" t="str">
        <x:v>Belém</x:v>
      </x:c>
      <x:c r="F214" t="str">
        <x:v>PA</x:v>
      </x:c>
      <x:c r="G214" t="str">
        <x:v>Monte Dourado</x:v>
      </x:c>
      <x:c r="H214" t="str">
        <x:v>PA</x:v>
      </x:c>
      <x:c r="I214" t="str">
        <x:v>MARAJO CARGAS LOCALIDADES</x:v>
      </x:c>
      <x:c r="J214" t="str">
        <x:v>Tabela percentual</x:v>
      </x:c>
      <x:c r="K214" t="str">
        <x:v>35%</x:v>
      </x:c>
      <x:c r="L214" t="n">
        <x:v>40</x:v>
      </x:c>
      <x:c r="M214"/>
      <x:c r="N214"/>
      <x:c r="O214"/>
      <x:c r="P214" t="str">
        <x:v>3 A 4 DIAS</x:v>
      </x:c>
      <x:c r="Q214"/>
      <x:c r="R214" t="str">
        <x:v>ORIGINAL</x:v>
      </x:c>
      <x:c r="S214" t="str">
        <x:v>NÃO</x:v>
      </x:c>
      <x:c r="T214" t="str">
        <x:v>REVISAR_OK</x:v>
      </x:c>
      <x:c r="U214" t="str">
        <x:v>TABELA MARAJO CARGAS (MF LOBATO).pdf</x:v>
      </x:c>
      <x:c r="V214" t="str">
        <x:v>2</x:v>
      </x:c>
      <x:c r="W214" t="str">
        <x:v>Cadastrado a partir da tabela Marajó Cargas / M. F. Lobato enviada como fonte.</x:v>
      </x:c>
      <x:c r="X214"/>
      <x:c r="Y214"/>
      <x:c r="Z214"/>
      <x:c r="AA214"/>
      <x:c r="AB214"/>
      <x:c r="AC214" t="str">
        <x:v>SIM</x:v>
      </x:c>
      <x:c r="AD214" t="str">
        <x:v>M. F. LOBATO</x:v>
      </x:c>
      <x:c r="AE214" t="str">
        <x:v>PERCENTUAL</x:v>
      </x:c>
      <x:c r="AF214"/>
      <x:c r="AG214" t="str">
        <x:v>2.6.46</x:v>
      </x:c>
      <x:c r="AH214" t="str">
        <x:v>Frete base × percentual; aplicar frete mínimo quando maior. Bloco percentual ativado; controle visual passivo.</x:v>
      </x:c>
      <x:c r="AI214"/>
    </x:row>
    <x:row r="215">
      <x:c r="A215" t="str">
        <x:v>MF_LOBATO_0003</x:v>
      </x:c>
      <x:c r="B215" t="str">
        <x:v>MF_LOBATO</x:v>
      </x:c>
      <x:c r="C215"/>
      <x:c r="D215"/>
      <x:c r="E215" t="str">
        <x:v>Belém</x:v>
      </x:c>
      <x:c r="F215" t="str">
        <x:v>PA</x:v>
      </x:c>
      <x:c r="G215" t="str">
        <x:v>Laranjal do Jari</x:v>
      </x:c>
      <x:c r="H215" t="str">
        <x:v>AP</x:v>
      </x:c>
      <x:c r="I215" t="str">
        <x:v>MARAJO CARGAS LOCALIDADES</x:v>
      </x:c>
      <x:c r="J215" t="str">
        <x:v>Tabela percentual</x:v>
      </x:c>
      <x:c r="K215" t="str">
        <x:v>35%</x:v>
      </x:c>
      <x:c r="L215" t="n">
        <x:v>40</x:v>
      </x:c>
      <x:c r="M215"/>
      <x:c r="N215"/>
      <x:c r="O215"/>
      <x:c r="P215" t="str">
        <x:v>3 A 4 DIAS</x:v>
      </x:c>
      <x:c r="Q215"/>
      <x:c r="R215" t="str">
        <x:v>ORIGINAL</x:v>
      </x:c>
      <x:c r="S215" t="str">
        <x:v>NÃO</x:v>
      </x:c>
      <x:c r="T215" t="str">
        <x:v>REVISAR_OK</x:v>
      </x:c>
      <x:c r="U215" t="str">
        <x:v>TABELA MARAJO CARGAS (MF LOBATO).pdf</x:v>
      </x:c>
      <x:c r="V215" t="str">
        <x:v>2</x:v>
      </x:c>
      <x:c r="W215" t="str">
        <x:v>Cadastrado a partir da tabela Marajó Cargas / M. F. Lobato enviada como fonte.</x:v>
      </x:c>
      <x:c r="X215"/>
      <x:c r="Y215"/>
      <x:c r="Z215"/>
      <x:c r="AA215"/>
      <x:c r="AB215"/>
      <x:c r="AC215" t="str">
        <x:v>SIM</x:v>
      </x:c>
      <x:c r="AD215" t="str">
        <x:v>M. F. LOBATO</x:v>
      </x:c>
      <x:c r="AE215" t="str">
        <x:v>PERCENTUAL</x:v>
      </x:c>
      <x:c r="AF215"/>
      <x:c r="AG215" t="str">
        <x:v>2.6.46</x:v>
      </x:c>
      <x:c r="AH215" t="str">
        <x:v>Frete base × percentual; aplicar frete mínimo quando maior. Bloco percentual ativado; controle visual passivo.</x:v>
      </x:c>
      <x:c r="AI215"/>
    </x:row>
    <x:row r="216">
      <x:c r="A216" t="str">
        <x:v>MF_LOBATO_0004</x:v>
      </x:c>
      <x:c r="B216" t="str">
        <x:v>MF_LOBATO</x:v>
      </x:c>
      <x:c r="C216"/>
      <x:c r="D216"/>
      <x:c r="E216" t="str">
        <x:v>Belém</x:v>
      </x:c>
      <x:c r="F216" t="str">
        <x:v>PA</x:v>
      </x:c>
      <x:c r="G216" t="str">
        <x:v>Vitória do Jari</x:v>
      </x:c>
      <x:c r="H216" t="str">
        <x:v>AP</x:v>
      </x:c>
      <x:c r="I216" t="str">
        <x:v>MARAJO CARGAS LOCALIDADES</x:v>
      </x:c>
      <x:c r="J216" t="str">
        <x:v>Tabela percentual</x:v>
      </x:c>
      <x:c r="K216" t="str">
        <x:v>35%</x:v>
      </x:c>
      <x:c r="L216" t="n">
        <x:v>40</x:v>
      </x:c>
      <x:c r="M216"/>
      <x:c r="N216"/>
      <x:c r="O216"/>
      <x:c r="P216" t="str">
        <x:v>3 A 4 DIAS</x:v>
      </x:c>
      <x:c r="Q216"/>
      <x:c r="R216" t="str">
        <x:v>ORIGINAL</x:v>
      </x:c>
      <x:c r="S216" t="str">
        <x:v>NÃO</x:v>
      </x:c>
      <x:c r="T216" t="str">
        <x:v>REVISAR_OK</x:v>
      </x:c>
      <x:c r="U216" t="str">
        <x:v>TABELA MARAJO CARGAS (MF LOBATO).pdf</x:v>
      </x:c>
      <x:c r="V216" t="str">
        <x:v>2</x:v>
      </x:c>
      <x:c r="W216" t="str">
        <x:v>Cadastrado a partir da tabela Marajó Cargas / M. F. Lobato enviada como fonte.</x:v>
      </x:c>
      <x:c r="X216"/>
      <x:c r="Y216"/>
      <x:c r="Z216"/>
      <x:c r="AA216"/>
      <x:c r="AB216"/>
      <x:c r="AC216" t="str">
        <x:v>SIM</x:v>
      </x:c>
      <x:c r="AD216" t="str">
        <x:v>M. F. LOBATO</x:v>
      </x:c>
      <x:c r="AE216" t="str">
        <x:v>PERCENTUAL</x:v>
      </x:c>
      <x:c r="AF216"/>
      <x:c r="AG216" t="str">
        <x:v>2.6.46</x:v>
      </x:c>
      <x:c r="AH216" t="str">
        <x:v>Frete base × percentual; aplicar frete mínimo quando maior. Bloco percentual ativado; controle visual passivo.</x:v>
      </x:c>
      <x:c r="AI216"/>
    </x:row>
    <x:row r="217">
      <x:c r="A217" t="str">
        <x:v>MF_LOBATO_0005</x:v>
      </x:c>
      <x:c r="B217" t="str">
        <x:v>MF_LOBATO</x:v>
      </x:c>
      <x:c r="C217"/>
      <x:c r="D217"/>
      <x:c r="E217" t="str">
        <x:v>Belém</x:v>
      </x:c>
      <x:c r="F217" t="str">
        <x:v>PA</x:v>
      </x:c>
      <x:c r="G217" t="str">
        <x:v>Cametá</x:v>
      </x:c>
      <x:c r="H217" t="str">
        <x:v>PA</x:v>
      </x:c>
      <x:c r="I217" t="str">
        <x:v>MARAJO CARGAS LOCALIDADES</x:v>
      </x:c>
      <x:c r="J217" t="str">
        <x:v>Tabela percentual</x:v>
      </x:c>
      <x:c r="K217" t="str">
        <x:v>40%</x:v>
      </x:c>
      <x:c r="L217" t="n">
        <x:v>40</x:v>
      </x:c>
      <x:c r="M217"/>
      <x:c r="N217"/>
      <x:c r="O217"/>
      <x:c r="P217" t="str">
        <x:v>1 A 2 DIAS</x:v>
      </x:c>
      <x:c r="Q217"/>
      <x:c r="R217" t="str">
        <x:v>ORIGINAL</x:v>
      </x:c>
      <x:c r="S217" t="str">
        <x:v>NÃO</x:v>
      </x:c>
      <x:c r="T217" t="str">
        <x:v>REVISAR_OK</x:v>
      </x:c>
      <x:c r="U217" t="str">
        <x:v>TABELA MARAJO CARGAS (MF LOBATO).pdf</x:v>
      </x:c>
      <x:c r="V217" t="str">
        <x:v>2</x:v>
      </x:c>
      <x:c r="W217" t="str">
        <x:v>Cadastrado a partir da tabela Marajó Cargas / M. F. Lobato enviada como fonte.</x:v>
      </x:c>
      <x:c r="X217"/>
      <x:c r="Y217"/>
      <x:c r="Z217"/>
      <x:c r="AA217"/>
      <x:c r="AB217"/>
      <x:c r="AC217" t="str">
        <x:v>SIM</x:v>
      </x:c>
      <x:c r="AD217" t="str">
        <x:v>M. F. LOBATO</x:v>
      </x:c>
      <x:c r="AE217" t="str">
        <x:v>PERCENTUAL</x:v>
      </x:c>
      <x:c r="AF217"/>
      <x:c r="AG217" t="str">
        <x:v>2.6.46</x:v>
      </x:c>
      <x:c r="AH217" t="str">
        <x:v>Frete base × percentual; aplicar frete mínimo quando maior. Bloco percentual ativado; controle visual passivo.</x:v>
      </x:c>
      <x:c r="AI217"/>
    </x:row>
    <x:row r="218">
      <x:c r="A218" t="str">
        <x:v>MF_LOBATO_0006</x:v>
      </x:c>
      <x:c r="B218" t="str">
        <x:v>MF_LOBATO</x:v>
      </x:c>
      <x:c r="C218"/>
      <x:c r="D218"/>
      <x:c r="E218" t="str">
        <x:v>Belém</x:v>
      </x:c>
      <x:c r="F218" t="str">
        <x:v>PA</x:v>
      </x:c>
      <x:c r="G218" t="str">
        <x:v>Baião</x:v>
      </x:c>
      <x:c r="H218" t="str">
        <x:v>PA</x:v>
      </x:c>
      <x:c r="I218" t="str">
        <x:v>MARAJO CARGAS LOCALIDADES</x:v>
      </x:c>
      <x:c r="J218" t="str">
        <x:v>Tabela percentual</x:v>
      </x:c>
      <x:c r="K218" t="str">
        <x:v>40%</x:v>
      </x:c>
      <x:c r="L218" t="n">
        <x:v>40</x:v>
      </x:c>
      <x:c r="M218"/>
      <x:c r="N218"/>
      <x:c r="O218"/>
      <x:c r="P218" t="str">
        <x:v>2 A 3 DIAS</x:v>
      </x:c>
      <x:c r="Q218"/>
      <x:c r="R218" t="str">
        <x:v>ORIGINAL</x:v>
      </x:c>
      <x:c r="S218" t="str">
        <x:v>NÃO</x:v>
      </x:c>
      <x:c r="T218" t="str">
        <x:v>REVISAR_OK</x:v>
      </x:c>
      <x:c r="U218" t="str">
        <x:v>TABELA MARAJO CARGAS (MF LOBATO).pdf</x:v>
      </x:c>
      <x:c r="V218" t="str">
        <x:v>2</x:v>
      </x:c>
      <x:c r="W218" t="str">
        <x:v>Cadastrado a partir da tabela Marajó Cargas / M. F. Lobato enviada como fonte.</x:v>
      </x:c>
      <x:c r="X218"/>
      <x:c r="Y218"/>
      <x:c r="Z218"/>
      <x:c r="AA218"/>
      <x:c r="AB218"/>
      <x:c r="AC218" t="str">
        <x:v>SIM</x:v>
      </x:c>
      <x:c r="AD218" t="str">
        <x:v>M. F. LOBATO</x:v>
      </x:c>
      <x:c r="AE218" t="str">
        <x:v>PERCENTUAL</x:v>
      </x:c>
      <x:c r="AF218"/>
      <x:c r="AG218" t="str">
        <x:v>2.6.46</x:v>
      </x:c>
      <x:c r="AH218" t="str">
        <x:v>Frete base × percentual; aplicar frete mínimo quando maior. Bloco percentual ativado; controle visual passivo.</x:v>
      </x:c>
      <x:c r="AI218"/>
    </x:row>
    <x:row r="219">
      <x:c r="A219" t="str">
        <x:v>MF_LOBATO_0007</x:v>
      </x:c>
      <x:c r="B219" t="str">
        <x:v>MF_LOBATO</x:v>
      </x:c>
      <x:c r="C219"/>
      <x:c r="D219"/>
      <x:c r="E219" t="str">
        <x:v>Belém</x:v>
      </x:c>
      <x:c r="F219" t="str">
        <x:v>PA</x:v>
      </x:c>
      <x:c r="G219" t="str">
        <x:v>Mocajuba</x:v>
      </x:c>
      <x:c r="H219" t="str">
        <x:v>PA</x:v>
      </x:c>
      <x:c r="I219" t="str">
        <x:v>MARAJO CARGAS LOCALIDADES</x:v>
      </x:c>
      <x:c r="J219" t="str">
        <x:v>Tabela percentual</x:v>
      </x:c>
      <x:c r="K219" t="str">
        <x:v>40%</x:v>
      </x:c>
      <x:c r="L219" t="n">
        <x:v>40</x:v>
      </x:c>
      <x:c r="M219"/>
      <x:c r="N219"/>
      <x:c r="O219"/>
      <x:c r="P219" t="str">
        <x:v>2 A 3 DIAS</x:v>
      </x:c>
      <x:c r="Q219"/>
      <x:c r="R219" t="str">
        <x:v>ORIGINAL</x:v>
      </x:c>
      <x:c r="S219" t="str">
        <x:v>NÃO</x:v>
      </x:c>
      <x:c r="T219" t="str">
        <x:v>REVISAR_OK</x:v>
      </x:c>
      <x:c r="U219" t="str">
        <x:v>TABELA MARAJO CARGAS (MF LOBATO).pdf</x:v>
      </x:c>
      <x:c r="V219" t="str">
        <x:v>2</x:v>
      </x:c>
      <x:c r="W219" t="str">
        <x:v>Cadastrado a partir da tabela Marajó Cargas / M. F. Lobato enviada como fonte.</x:v>
      </x:c>
      <x:c r="X219"/>
      <x:c r="Y219"/>
      <x:c r="Z219"/>
      <x:c r="AA219"/>
      <x:c r="AB219"/>
      <x:c r="AC219" t="str">
        <x:v>SIM</x:v>
      </x:c>
      <x:c r="AD219" t="str">
        <x:v>M. F. LOBATO</x:v>
      </x:c>
      <x:c r="AE219" t="str">
        <x:v>PERCENTUAL</x:v>
      </x:c>
      <x:c r="AF219"/>
      <x:c r="AG219" t="str">
        <x:v>2.6.46</x:v>
      </x:c>
      <x:c r="AH219" t="str">
        <x:v>Frete base × percentual; aplicar frete mínimo quando maior. Bloco percentual ativado; controle visual passivo.</x:v>
      </x:c>
      <x:c r="AI219"/>
    </x:row>
    <x:row r="220">
      <x:c r="A220" t="str">
        <x:v>MF_LOBATO_0008</x:v>
      </x:c>
      <x:c r="B220" t="str">
        <x:v>MF_LOBATO</x:v>
      </x:c>
      <x:c r="C220"/>
      <x:c r="D220"/>
      <x:c r="E220" t="str">
        <x:v>Belém</x:v>
      </x:c>
      <x:c r="F220" t="str">
        <x:v>PA</x:v>
      </x:c>
      <x:c r="G220" t="str">
        <x:v>Afuá</x:v>
      </x:c>
      <x:c r="H220" t="str">
        <x:v>PA</x:v>
      </x:c>
      <x:c r="I220" t="str">
        <x:v>MARAJO CARGAS LOCALIDADES</x:v>
      </x:c>
      <x:c r="J220" t="str">
        <x:v>Tabela percentual</x:v>
      </x:c>
      <x:c r="K220" t="str">
        <x:v>40%</x:v>
      </x:c>
      <x:c r="L220" t="n">
        <x:v>50</x:v>
      </x:c>
      <x:c r="M220"/>
      <x:c r="N220"/>
      <x:c r="O220"/>
      <x:c r="P220" t="str">
        <x:v>5 DIAS</x:v>
      </x:c>
      <x:c r="Q220"/>
      <x:c r="R220" t="str">
        <x:v>ORIGINAL</x:v>
      </x:c>
      <x:c r="S220" t="str">
        <x:v>NÃO</x:v>
      </x:c>
      <x:c r="T220" t="str">
        <x:v>REVISAR_OK</x:v>
      </x:c>
      <x:c r="U220" t="str">
        <x:v>TABELA MARAJO CARGAS (MF LOBATO).pdf</x:v>
      </x:c>
      <x:c r="V220" t="str">
        <x:v>2</x:v>
      </x:c>
      <x:c r="W220" t="str">
        <x:v>Cadastrado a partir da tabela Marajó Cargas / M. F. Lobato enviada como fonte.</x:v>
      </x:c>
      <x:c r="X220"/>
      <x:c r="Y220"/>
      <x:c r="Z220"/>
      <x:c r="AA220"/>
      <x:c r="AB220"/>
      <x:c r="AC220" t="str">
        <x:v>SIM</x:v>
      </x:c>
      <x:c r="AD220" t="str">
        <x:v>M. F. LOBATO</x:v>
      </x:c>
      <x:c r="AE220" t="str">
        <x:v>PERCENTUAL</x:v>
      </x:c>
      <x:c r="AF220"/>
      <x:c r="AG220" t="str">
        <x:v>2.6.46</x:v>
      </x:c>
      <x:c r="AH220" t="str">
        <x:v>Frete base × percentual; aplicar frete mínimo quando maior. Bloco percentual ativado; controle visual passivo.</x:v>
      </x:c>
      <x:c r="AI220"/>
    </x:row>
    <x:row r="221">
      <x:c r="A221" t="str">
        <x:v>MF_LOBATO_0009</x:v>
      </x:c>
      <x:c r="B221" t="str">
        <x:v>MF_LOBATO</x:v>
      </x:c>
      <x:c r="C221"/>
      <x:c r="D221"/>
      <x:c r="E221" t="str">
        <x:v>Belém</x:v>
      </x:c>
      <x:c r="F221" t="str">
        <x:v>PA</x:v>
      </x:c>
      <x:c r="G221" t="str">
        <x:v>Chaves</x:v>
      </x:c>
      <x:c r="H221" t="str">
        <x:v>PA</x:v>
      </x:c>
      <x:c r="I221" t="str">
        <x:v>MARAJO CARGAS LOCALIDADES</x:v>
      </x:c>
      <x:c r="J221" t="str">
        <x:v>Tabela percentual</x:v>
      </x:c>
      <x:c r="K221" t="str">
        <x:v>40%</x:v>
      </x:c>
      <x:c r="L221" t="n">
        <x:v>50</x:v>
      </x:c>
      <x:c r="M221"/>
      <x:c r="N221"/>
      <x:c r="O221"/>
      <x:c r="P221" t="str">
        <x:v>7 DIAS</x:v>
      </x:c>
      <x:c r="Q221"/>
      <x:c r="R221" t="str">
        <x:v>ORIGINAL</x:v>
      </x:c>
      <x:c r="S221" t="str">
        <x:v>NÃO</x:v>
      </x:c>
      <x:c r="T221" t="str">
        <x:v>REVISAR_OK</x:v>
      </x:c>
      <x:c r="U221" t="str">
        <x:v>TABELA MARAJO CARGAS (MF LOBATO).pdf</x:v>
      </x:c>
      <x:c r="V221" t="str">
        <x:v>2</x:v>
      </x:c>
      <x:c r="W221" t="str">
        <x:v>Cadastrado a partir da tabela Marajó Cargas / M. F. Lobato enviada como fonte.</x:v>
      </x:c>
      <x:c r="X221"/>
      <x:c r="Y221"/>
      <x:c r="Z221"/>
      <x:c r="AA221"/>
      <x:c r="AB221"/>
      <x:c r="AC221" t="str">
        <x:v>SIM</x:v>
      </x:c>
      <x:c r="AD221" t="str">
        <x:v>M. F. LOBATO</x:v>
      </x:c>
      <x:c r="AE221" t="str">
        <x:v>PERCENTUAL</x:v>
      </x:c>
      <x:c r="AF221"/>
      <x:c r="AG221" t="str">
        <x:v>2.6.46</x:v>
      </x:c>
      <x:c r="AH221" t="str">
        <x:v>Frete base × percentual; aplicar frete mínimo quando maior. Bloco percentual ativado; controle visual passivo.</x:v>
      </x:c>
      <x:c r="AI221"/>
    </x:row>
    <x:row r="222">
      <x:c r="A222" t="str">
        <x:v>MF_LOBATO_0010</x:v>
      </x:c>
      <x:c r="B222" t="str">
        <x:v>MF_LOBATO</x:v>
      </x:c>
      <x:c r="C222"/>
      <x:c r="D222"/>
      <x:c r="E222" t="str">
        <x:v>Belém</x:v>
      </x:c>
      <x:c r="F222" t="str">
        <x:v>PA</x:v>
      </x:c>
      <x:c r="G222" t="str">
        <x:v>Almeirim</x:v>
      </x:c>
      <x:c r="H222" t="str">
        <x:v>PA</x:v>
      </x:c>
      <x:c r="I222" t="str">
        <x:v>MARAJO CARGAS LOCALIDADES</x:v>
      </x:c>
      <x:c r="J222" t="str">
        <x:v>Tabela percentual</x:v>
      </x:c>
      <x:c r="K222" t="str">
        <x:v>40%</x:v>
      </x:c>
      <x:c r="L222" t="n">
        <x:v>40</x:v>
      </x:c>
      <x:c r="M222"/>
      <x:c r="N222"/>
      <x:c r="O222"/>
      <x:c r="P222" t="str">
        <x:v>3 A 4 DIAS</x:v>
      </x:c>
      <x:c r="Q222"/>
      <x:c r="R222" t="str">
        <x:v>ORIGINAL</x:v>
      </x:c>
      <x:c r="S222" t="str">
        <x:v>NÃO</x:v>
      </x:c>
      <x:c r="T222" t="str">
        <x:v>REVISAR_OK</x:v>
      </x:c>
      <x:c r="U222" t="str">
        <x:v>TABELA MARAJO CARGAS (MF LOBATO).pdf</x:v>
      </x:c>
      <x:c r="V222" t="str">
        <x:v>2</x:v>
      </x:c>
      <x:c r="W222" t="str">
        <x:v>Cadastrado a partir da tabela Marajó Cargas / M. F. Lobato enviada como fonte.</x:v>
      </x:c>
      <x:c r="X222"/>
      <x:c r="Y222"/>
      <x:c r="Z222"/>
      <x:c r="AA222"/>
      <x:c r="AB222"/>
      <x:c r="AC222" t="str">
        <x:v>SIM</x:v>
      </x:c>
      <x:c r="AD222" t="str">
        <x:v>M. F. LOBATO</x:v>
      </x:c>
      <x:c r="AE222" t="str">
        <x:v>PERCENTUAL</x:v>
      </x:c>
      <x:c r="AF222"/>
      <x:c r="AG222" t="str">
        <x:v>2.6.46</x:v>
      </x:c>
      <x:c r="AH222" t="str">
        <x:v>Frete base × percentual; aplicar frete mínimo quando maior. Bloco percentual ativado; controle visual passivo.</x:v>
      </x:c>
      <x:c r="AI222"/>
    </x:row>
    <x:row r="223">
      <x:c r="A223" t="str">
        <x:v>MF_LOBATO_0011</x:v>
      </x:c>
      <x:c r="B223" t="str">
        <x:v>MF_LOBATO</x:v>
      </x:c>
      <x:c r="C223"/>
      <x:c r="D223"/>
      <x:c r="E223" t="str">
        <x:v>Belém</x:v>
      </x:c>
      <x:c r="F223" t="str">
        <x:v>PA</x:v>
      </x:c>
      <x:c r="G223" t="str">
        <x:v>Bagre</x:v>
      </x:c>
      <x:c r="H223" t="str">
        <x:v>PA</x:v>
      </x:c>
      <x:c r="I223" t="str">
        <x:v>MARAJO CARGAS LOCALIDADES</x:v>
      </x:c>
      <x:c r="J223" t="str">
        <x:v>Tabela percentual</x:v>
      </x:c>
      <x:c r="K223" t="str">
        <x:v>40%</x:v>
      </x:c>
      <x:c r="L223" t="n">
        <x:v>40</x:v>
      </x:c>
      <x:c r="M223"/>
      <x:c r="N223"/>
      <x:c r="O223"/>
      <x:c r="P223" t="str">
        <x:v>2 A 3 DIAS</x:v>
      </x:c>
      <x:c r="Q223"/>
      <x:c r="R223" t="str">
        <x:v>ORIGINAL</x:v>
      </x:c>
      <x:c r="S223" t="str">
        <x:v>NÃO</x:v>
      </x:c>
      <x:c r="T223" t="str">
        <x:v>REVISAR_OK</x:v>
      </x:c>
      <x:c r="U223" t="str">
        <x:v>TABELA MARAJO CARGAS (MF LOBATO).pdf</x:v>
      </x:c>
      <x:c r="V223" t="str">
        <x:v>2</x:v>
      </x:c>
      <x:c r="W223" t="str">
        <x:v>Cadastrado a partir da tabela Marajó Cargas / M. F. Lobato enviada como fonte.</x:v>
      </x:c>
      <x:c r="X223"/>
      <x:c r="Y223"/>
      <x:c r="Z223"/>
      <x:c r="AA223"/>
      <x:c r="AB223"/>
      <x:c r="AC223" t="str">
        <x:v>SIM</x:v>
      </x:c>
      <x:c r="AD223" t="str">
        <x:v>M. F. LOBATO</x:v>
      </x:c>
      <x:c r="AE223" t="str">
        <x:v>PERCENTUAL</x:v>
      </x:c>
      <x:c r="AF223"/>
      <x:c r="AG223" t="str">
        <x:v>2.6.46</x:v>
      </x:c>
      <x:c r="AH223" t="str">
        <x:v>Frete base × percentual; aplicar frete mínimo quando maior. Bloco percentual ativado; controle visual passivo.</x:v>
      </x:c>
      <x:c r="AI223"/>
    </x:row>
    <x:row r="224">
      <x:c r="A224" t="str">
        <x:v>MF_LOBATO_0012</x:v>
      </x:c>
      <x:c r="B224" t="str">
        <x:v>MF_LOBATO</x:v>
      </x:c>
      <x:c r="C224"/>
      <x:c r="D224"/>
      <x:c r="E224" t="str">
        <x:v>Belém</x:v>
      </x:c>
      <x:c r="F224" t="str">
        <x:v>PA</x:v>
      </x:c>
      <x:c r="G224" t="str">
        <x:v>Anajás</x:v>
      </x:c>
      <x:c r="H224" t="str">
        <x:v>PA</x:v>
      </x:c>
      <x:c r="I224" t="str">
        <x:v>MARAJO CARGAS LOCALIDADES</x:v>
      </x:c>
      <x:c r="J224" t="str">
        <x:v>Tabela percentual</x:v>
      </x:c>
      <x:c r="K224" t="str">
        <x:v>40%</x:v>
      </x:c>
      <x:c r="L224" t="n">
        <x:v>40</x:v>
      </x:c>
      <x:c r="M224"/>
      <x:c r="N224"/>
      <x:c r="O224"/>
      <x:c r="P224" t="str">
        <x:v>3 A 4 DIAS</x:v>
      </x:c>
      <x:c r="Q224"/>
      <x:c r="R224" t="str">
        <x:v>ORIGINAL</x:v>
      </x:c>
      <x:c r="S224" t="str">
        <x:v>NÃO</x:v>
      </x:c>
      <x:c r="T224" t="str">
        <x:v>REVISAR_OK</x:v>
      </x:c>
      <x:c r="U224" t="str">
        <x:v>TABELA MARAJO CARGAS (MF LOBATO).pdf</x:v>
      </x:c>
      <x:c r="V224" t="str">
        <x:v>2</x:v>
      </x:c>
      <x:c r="W224" t="str">
        <x:v>Cadastrado a partir da tabela Marajó Cargas / M. F. Lobato enviada como fonte.</x:v>
      </x:c>
      <x:c r="X224"/>
      <x:c r="Y224"/>
      <x:c r="Z224"/>
      <x:c r="AA224"/>
      <x:c r="AB224"/>
      <x:c r="AC224" t="str">
        <x:v>SIM</x:v>
      </x:c>
      <x:c r="AD224" t="str">
        <x:v>M. F. LOBATO</x:v>
      </x:c>
      <x:c r="AE224" t="str">
        <x:v>PERCENTUAL</x:v>
      </x:c>
      <x:c r="AF224"/>
      <x:c r="AG224" t="str">
        <x:v>2.6.46</x:v>
      </x:c>
      <x:c r="AH224" t="str">
        <x:v>Frete base × percentual; aplicar frete mínimo quando maior. Bloco percentual ativado; controle visual passivo.</x:v>
      </x:c>
      <x:c r="AI224"/>
    </x:row>
    <x:row r="225">
      <x:c r="A225" t="str">
        <x:v>MF_LOBATO_0013</x:v>
      </x:c>
      <x:c r="B225" t="str">
        <x:v>MF_LOBATO</x:v>
      </x:c>
      <x:c r="C225"/>
      <x:c r="D225"/>
      <x:c r="E225" t="str">
        <x:v>Belém</x:v>
      </x:c>
      <x:c r="F225" t="str">
        <x:v>PA</x:v>
      </x:c>
      <x:c r="G225" t="str">
        <x:v>Breves</x:v>
      </x:c>
      <x:c r="H225" t="str">
        <x:v>PA</x:v>
      </x:c>
      <x:c r="I225" t="str">
        <x:v>MARAJO CARGAS LOCALIDADES</x:v>
      </x:c>
      <x:c r="J225" t="str">
        <x:v>Tabela percentual</x:v>
      </x:c>
      <x:c r="K225" t="str">
        <x:v>35%</x:v>
      </x:c>
      <x:c r="L225" t="n">
        <x:v>40</x:v>
      </x:c>
      <x:c r="M225"/>
      <x:c r="N225"/>
      <x:c r="O225"/>
      <x:c r="P225" t="str">
        <x:v>1 A 2 DIAS</x:v>
      </x:c>
      <x:c r="Q225"/>
      <x:c r="R225" t="str">
        <x:v>ORIGINAL</x:v>
      </x:c>
      <x:c r="S225" t="str">
        <x:v>NÃO</x:v>
      </x:c>
      <x:c r="T225" t="str">
        <x:v>REVISAR_OK</x:v>
      </x:c>
      <x:c r="U225" t="str">
        <x:v>TABELA MARAJO CARGAS (MF LOBATO).pdf</x:v>
      </x:c>
      <x:c r="V225" t="str">
        <x:v>2</x:v>
      </x:c>
      <x:c r="W225" t="str">
        <x:v>Cadastrado a partir da tabela Marajó Cargas / M. F. Lobato enviada como fonte.</x:v>
      </x:c>
      <x:c r="X225"/>
      <x:c r="Y225"/>
      <x:c r="Z225"/>
      <x:c r="AA225"/>
      <x:c r="AB225"/>
      <x:c r="AC225" t="str">
        <x:v>SIM</x:v>
      </x:c>
      <x:c r="AD225" t="str">
        <x:v>M. F. LOBATO</x:v>
      </x:c>
      <x:c r="AE225" t="str">
        <x:v>PERCENTUAL</x:v>
      </x:c>
      <x:c r="AF225"/>
      <x:c r="AG225" t="str">
        <x:v>2.6.46</x:v>
      </x:c>
      <x:c r="AH225" t="str">
        <x:v>Frete base × percentual; aplicar frete mínimo quando maior. Bloco percentual ativado; controle visual passivo.</x:v>
      </x:c>
      <x:c r="AI225"/>
    </x:row>
    <x:row r="226">
      <x:c r="A226" t="str">
        <x:v>MF_LOBATO_0014</x:v>
      </x:c>
      <x:c r="B226" t="str">
        <x:v>MF_LOBATO</x:v>
      </x:c>
      <x:c r="C226"/>
      <x:c r="D226"/>
      <x:c r="E226" t="str">
        <x:v>Belém</x:v>
      </x:c>
      <x:c r="F226" t="str">
        <x:v>PA</x:v>
      </x:c>
      <x:c r="G226" t="str">
        <x:v>Cachoeira do Arari</x:v>
      </x:c>
      <x:c r="H226" t="str">
        <x:v>PA</x:v>
      </x:c>
      <x:c r="I226" t="str">
        <x:v>MARAJO CARGAS LOCALIDADES</x:v>
      </x:c>
      <x:c r="J226" t="str">
        <x:v>Tabela percentual</x:v>
      </x:c>
      <x:c r="K226" t="str">
        <x:v>45%</x:v>
      </x:c>
      <x:c r="L226" t="n">
        <x:v>40</x:v>
      </x:c>
      <x:c r="M226"/>
      <x:c r="N226"/>
      <x:c r="O226"/>
      <x:c r="P226" t="str">
        <x:v>1 A 2 DIAS</x:v>
      </x:c>
      <x:c r="Q226"/>
      <x:c r="R226" t="str">
        <x:v>ORIGINAL</x:v>
      </x:c>
      <x:c r="S226" t="str">
        <x:v>NÃO</x:v>
      </x:c>
      <x:c r="T226" t="str">
        <x:v>REVISAR_OK</x:v>
      </x:c>
      <x:c r="U226" t="str">
        <x:v>TABELA MARAJO CARGAS (MF LOBATO).pdf</x:v>
      </x:c>
      <x:c r="V226" t="str">
        <x:v>2</x:v>
      </x:c>
      <x:c r="W226" t="str">
        <x:v>Cadastrado a partir da tabela Marajó Cargas / M. F. Lobato enviada como fonte.</x:v>
      </x:c>
      <x:c r="X226"/>
      <x:c r="Y226"/>
      <x:c r="Z226"/>
      <x:c r="AA226"/>
      <x:c r="AB226"/>
      <x:c r="AC226" t="str">
        <x:v>SIM</x:v>
      </x:c>
      <x:c r="AD226" t="str">
        <x:v>M. F. LOBATO</x:v>
      </x:c>
      <x:c r="AE226" t="str">
        <x:v>PERCENTUAL</x:v>
      </x:c>
      <x:c r="AF226"/>
      <x:c r="AG226" t="str">
        <x:v>2.6.46</x:v>
      </x:c>
      <x:c r="AH226" t="str">
        <x:v>Frete base × percentual; aplicar frete mínimo quando maior. Bloco percentual ativado; controle visual passivo.</x:v>
      </x:c>
      <x:c r="AI226"/>
    </x:row>
    <x:row r="227">
      <x:c r="A227" t="str">
        <x:v>MF_LOBATO_0015</x:v>
      </x:c>
      <x:c r="B227" t="str">
        <x:v>MF_LOBATO</x:v>
      </x:c>
      <x:c r="C227"/>
      <x:c r="D227"/>
      <x:c r="E227" t="str">
        <x:v>Belém</x:v>
      </x:c>
      <x:c r="F227" t="str">
        <x:v>PA</x:v>
      </x:c>
      <x:c r="G227" t="str">
        <x:v>Curralinho</x:v>
      </x:c>
      <x:c r="H227" t="str">
        <x:v>PA</x:v>
      </x:c>
      <x:c r="I227" t="str">
        <x:v>MARAJO CARGAS LOCALIDADES</x:v>
      </x:c>
      <x:c r="J227" t="str">
        <x:v>Tabela percentual</x:v>
      </x:c>
      <x:c r="K227" t="str">
        <x:v>45%</x:v>
      </x:c>
      <x:c r="L227" t="n">
        <x:v>40</x:v>
      </x:c>
      <x:c r="M227"/>
      <x:c r="N227"/>
      <x:c r="O227"/>
      <x:c r="P227" t="str">
        <x:v>1 A 2 DIAS</x:v>
      </x:c>
      <x:c r="Q227"/>
      <x:c r="R227" t="str">
        <x:v>ORIGINAL</x:v>
      </x:c>
      <x:c r="S227" t="str">
        <x:v>NÃO</x:v>
      </x:c>
      <x:c r="T227" t="str">
        <x:v>REVISAR_OK</x:v>
      </x:c>
      <x:c r="U227" t="str">
        <x:v>TABELA MARAJO CARGAS (MF LOBATO).pdf</x:v>
      </x:c>
      <x:c r="V227" t="str">
        <x:v>2</x:v>
      </x:c>
      <x:c r="W227" t="str">
        <x:v>Cadastrado a partir da tabela Marajó Cargas / M. F. Lobato enviada como fonte.</x:v>
      </x:c>
      <x:c r="X227"/>
      <x:c r="Y227"/>
      <x:c r="Z227"/>
      <x:c r="AA227"/>
      <x:c r="AB227"/>
      <x:c r="AC227" t="str">
        <x:v>SIM</x:v>
      </x:c>
      <x:c r="AD227" t="str">
        <x:v>M. F. LOBATO</x:v>
      </x:c>
      <x:c r="AE227" t="str">
        <x:v>PERCENTUAL</x:v>
      </x:c>
      <x:c r="AF227"/>
      <x:c r="AG227" t="str">
        <x:v>2.6.46</x:v>
      </x:c>
      <x:c r="AH227" t="str">
        <x:v>Frete base × percentual; aplicar frete mínimo quando maior. Bloco percentual ativado; controle visual passivo.</x:v>
      </x:c>
      <x:c r="AI227"/>
    </x:row>
    <x:row r="228">
      <x:c r="A228" t="str">
        <x:v>MF_LOBATO_0016</x:v>
      </x:c>
      <x:c r="B228" t="str">
        <x:v>MF_LOBATO</x:v>
      </x:c>
      <x:c r="C228"/>
      <x:c r="D228"/>
      <x:c r="E228" t="str">
        <x:v>Belém</x:v>
      </x:c>
      <x:c r="F228" t="str">
        <x:v>PA</x:v>
      </x:c>
      <x:c r="G228" t="str">
        <x:v>Limoeiro do Ajuru</x:v>
      </x:c>
      <x:c r="H228" t="str">
        <x:v>PA</x:v>
      </x:c>
      <x:c r="I228" t="str">
        <x:v>MARAJO CARGAS LOCALIDADES</x:v>
      </x:c>
      <x:c r="J228" t="str">
        <x:v>Tabela percentual</x:v>
      </x:c>
      <x:c r="K228" t="str">
        <x:v>40%</x:v>
      </x:c>
      <x:c r="L228" t="n">
        <x:v>40</x:v>
      </x:c>
      <x:c r="M228"/>
      <x:c r="N228"/>
      <x:c r="O228"/>
      <x:c r="P228" t="str">
        <x:v>1 A 2 DIAS</x:v>
      </x:c>
      <x:c r="Q228"/>
      <x:c r="R228" t="str">
        <x:v>ORIGINAL</x:v>
      </x:c>
      <x:c r="S228" t="str">
        <x:v>NÃO</x:v>
      </x:c>
      <x:c r="T228" t="str">
        <x:v>REVISAR_OK</x:v>
      </x:c>
      <x:c r="U228" t="str">
        <x:v>TABELA MARAJO CARGAS (MF LOBATO).pdf</x:v>
      </x:c>
      <x:c r="V228" t="str">
        <x:v>2</x:v>
      </x:c>
      <x:c r="W228" t="str">
        <x:v>Cadastrado a partir da tabela Marajó Cargas / M. F. Lobato enviada como fonte.</x:v>
      </x:c>
      <x:c r="X228"/>
      <x:c r="Y228"/>
      <x:c r="Z228"/>
      <x:c r="AA228"/>
      <x:c r="AB228"/>
      <x:c r="AC228" t="str">
        <x:v>SIM</x:v>
      </x:c>
      <x:c r="AD228" t="str">
        <x:v>M. F. LOBATO</x:v>
      </x:c>
      <x:c r="AE228" t="str">
        <x:v>PERCENTUAL</x:v>
      </x:c>
      <x:c r="AF228"/>
      <x:c r="AG228" t="str">
        <x:v>2.6.46</x:v>
      </x:c>
      <x:c r="AH228" t="str">
        <x:v>Frete base × percentual; aplicar frete mínimo quando maior. Bloco percentual ativado; controle visual passivo.</x:v>
      </x:c>
      <x:c r="AI228"/>
    </x:row>
    <x:row r="229">
      <x:c r="A229" t="str">
        <x:v>MF_LOBATO_0017</x:v>
      </x:c>
      <x:c r="B229" t="str">
        <x:v>MF_LOBATO</x:v>
      </x:c>
      <x:c r="C229"/>
      <x:c r="D229"/>
      <x:c r="E229" t="str">
        <x:v>Belém</x:v>
      </x:c>
      <x:c r="F229" t="str">
        <x:v>PA</x:v>
      </x:c>
      <x:c r="G229" t="str">
        <x:v>Melgaço</x:v>
      </x:c>
      <x:c r="H229" t="str">
        <x:v>PA</x:v>
      </x:c>
      <x:c r="I229" t="str">
        <x:v>MARAJO CARGAS LOCALIDADES</x:v>
      </x:c>
      <x:c r="J229" t="str">
        <x:v>Tabela percentual</x:v>
      </x:c>
      <x:c r="K229" t="str">
        <x:v>40%</x:v>
      </x:c>
      <x:c r="L229" t="n">
        <x:v>40</x:v>
      </x:c>
      <x:c r="M229"/>
      <x:c r="N229"/>
      <x:c r="O229"/>
      <x:c r="P229" t="str">
        <x:v>3 A 4 DIAS</x:v>
      </x:c>
      <x:c r="Q229"/>
      <x:c r="R229" t="str">
        <x:v>ORIGINAL</x:v>
      </x:c>
      <x:c r="S229" t="str">
        <x:v>NÃO</x:v>
      </x:c>
      <x:c r="T229" t="str">
        <x:v>REVISAR_OK</x:v>
      </x:c>
      <x:c r="U229" t="str">
        <x:v>TABELA MARAJO CARGAS (MF LOBATO).pdf</x:v>
      </x:c>
      <x:c r="V229" t="str">
        <x:v>2</x:v>
      </x:c>
      <x:c r="W229" t="str">
        <x:v>Cadastrado a partir da tabela Marajó Cargas / M. F. Lobato enviada como fonte.</x:v>
      </x:c>
      <x:c r="X229"/>
      <x:c r="Y229"/>
      <x:c r="Z229"/>
      <x:c r="AA229"/>
      <x:c r="AB229"/>
      <x:c r="AC229" t="str">
        <x:v>SIM</x:v>
      </x:c>
      <x:c r="AD229" t="str">
        <x:v>M. F. LOBATO</x:v>
      </x:c>
      <x:c r="AE229" t="str">
        <x:v>PERCENTUAL</x:v>
      </x:c>
      <x:c r="AF229"/>
      <x:c r="AG229" t="str">
        <x:v>2.6.46</x:v>
      </x:c>
      <x:c r="AH229" t="str">
        <x:v>Frete base × percentual; aplicar frete mínimo quando maior. Bloco percentual ativado; controle visual passivo.</x:v>
      </x:c>
      <x:c r="AI229"/>
    </x:row>
    <x:row r="230">
      <x:c r="A230" t="str">
        <x:v>MF_LOBATO_0018</x:v>
      </x:c>
      <x:c r="B230" t="str">
        <x:v>MF_LOBATO</x:v>
      </x:c>
      <x:c r="C230"/>
      <x:c r="D230"/>
      <x:c r="E230" t="str">
        <x:v>Belém</x:v>
      </x:c>
      <x:c r="F230" t="str">
        <x:v>PA</x:v>
      </x:c>
      <x:c r="G230" t="str">
        <x:v>Muaná</x:v>
      </x:c>
      <x:c r="H230" t="str">
        <x:v>PA</x:v>
      </x:c>
      <x:c r="I230" t="str">
        <x:v>MARAJO CARGAS LOCALIDADES</x:v>
      </x:c>
      <x:c r="J230" t="str">
        <x:v>Tabela percentual</x:v>
      </x:c>
      <x:c r="K230" t="str">
        <x:v>40%</x:v>
      </x:c>
      <x:c r="L230" t="n">
        <x:v>40</x:v>
      </x:c>
      <x:c r="M230"/>
      <x:c r="N230"/>
      <x:c r="O230"/>
      <x:c r="P230" t="str">
        <x:v>1 A 2 DIAS</x:v>
      </x:c>
      <x:c r="Q230"/>
      <x:c r="R230" t="str">
        <x:v>ORIGINAL</x:v>
      </x:c>
      <x:c r="S230" t="str">
        <x:v>NÃO</x:v>
      </x:c>
      <x:c r="T230" t="str">
        <x:v>REVISAR_OK</x:v>
      </x:c>
      <x:c r="U230" t="str">
        <x:v>TABELA MARAJO CARGAS (MF LOBATO).pdf</x:v>
      </x:c>
      <x:c r="V230" t="str">
        <x:v>2</x:v>
      </x:c>
      <x:c r="W230" t="str">
        <x:v>Cadastrado a partir da tabela Marajó Cargas / M. F. Lobato enviada como fonte.</x:v>
      </x:c>
      <x:c r="X230"/>
      <x:c r="Y230"/>
      <x:c r="Z230"/>
      <x:c r="AA230"/>
      <x:c r="AB230"/>
      <x:c r="AC230" t="str">
        <x:v>SIM</x:v>
      </x:c>
      <x:c r="AD230" t="str">
        <x:v>M. F. LOBATO</x:v>
      </x:c>
      <x:c r="AE230" t="str">
        <x:v>PERCENTUAL</x:v>
      </x:c>
      <x:c r="AF230"/>
      <x:c r="AG230" t="str">
        <x:v>2.6.46</x:v>
      </x:c>
      <x:c r="AH230" t="str">
        <x:v>Frete base × percentual; aplicar frete mínimo quando maior. Bloco percentual ativado; controle visual passivo.</x:v>
      </x:c>
      <x:c r="AI230"/>
    </x:row>
    <x:row r="231">
      <x:c r="A231" t="str">
        <x:v>MF_LOBATO_0019</x:v>
      </x:c>
      <x:c r="B231" t="str">
        <x:v>MF_LOBATO</x:v>
      </x:c>
      <x:c r="C231"/>
      <x:c r="D231"/>
      <x:c r="E231" t="str">
        <x:v>Belém</x:v>
      </x:c>
      <x:c r="F231" t="str">
        <x:v>PA</x:v>
      </x:c>
      <x:c r="G231" t="str">
        <x:v>Oeiras do Pará</x:v>
      </x:c>
      <x:c r="H231" t="str">
        <x:v>PA</x:v>
      </x:c>
      <x:c r="I231" t="str">
        <x:v>MARAJO CARGAS LOCALIDADES</x:v>
      </x:c>
      <x:c r="J231" t="str">
        <x:v>Tabela percentual</x:v>
      </x:c>
      <x:c r="K231" t="str">
        <x:v>45%</x:v>
      </x:c>
      <x:c r="L231" t="n">
        <x:v>40</x:v>
      </x:c>
      <x:c r="M231"/>
      <x:c r="N231"/>
      <x:c r="O231"/>
      <x:c r="P231" t="str">
        <x:v>1 A 2 DIAS</x:v>
      </x:c>
      <x:c r="Q231"/>
      <x:c r="R231" t="str">
        <x:v>ORIGINAL</x:v>
      </x:c>
      <x:c r="S231" t="str">
        <x:v>NÃO</x:v>
      </x:c>
      <x:c r="T231" t="str">
        <x:v>REVISAR_OK</x:v>
      </x:c>
      <x:c r="U231" t="str">
        <x:v>TABELA MARAJO CARGAS (MF LOBATO).pdf</x:v>
      </x:c>
      <x:c r="V231" t="str">
        <x:v>2</x:v>
      </x:c>
      <x:c r="W231" t="str">
        <x:v>Cadastrado a partir da tabela Marajó Cargas / M. F. Lobato enviada como fonte.</x:v>
      </x:c>
      <x:c r="X231"/>
      <x:c r="Y231"/>
      <x:c r="Z231"/>
      <x:c r="AA231"/>
      <x:c r="AB231"/>
      <x:c r="AC231" t="str">
        <x:v>SIM</x:v>
      </x:c>
      <x:c r="AD231" t="str">
        <x:v>M. F. LOBATO</x:v>
      </x:c>
      <x:c r="AE231" t="str">
        <x:v>PERCENTUAL</x:v>
      </x:c>
      <x:c r="AF231"/>
      <x:c r="AG231" t="str">
        <x:v>2.6.46</x:v>
      </x:c>
      <x:c r="AH231" t="str">
        <x:v>Frete base × percentual; aplicar frete mínimo quando maior. Bloco percentual ativado; controle visual passivo.</x:v>
      </x:c>
      <x:c r="AI231"/>
    </x:row>
    <x:row r="232">
      <x:c r="A232" t="str">
        <x:v>MF_LOBATO_0020</x:v>
      </x:c>
      <x:c r="B232" t="str">
        <x:v>MF_LOBATO</x:v>
      </x:c>
      <x:c r="C232"/>
      <x:c r="D232"/>
      <x:c r="E232" t="str">
        <x:v>Belém</x:v>
      </x:c>
      <x:c r="F232" t="str">
        <x:v>PA</x:v>
      </x:c>
      <x:c r="G232" t="str">
        <x:v>Ponta de Pedras</x:v>
      </x:c>
      <x:c r="H232" t="str">
        <x:v>PA</x:v>
      </x:c>
      <x:c r="I232" t="str">
        <x:v>MARAJO CARGAS LOCALIDADES</x:v>
      </x:c>
      <x:c r="J232" t="str">
        <x:v>Tabela percentual</x:v>
      </x:c>
      <x:c r="K232" t="str">
        <x:v>40%</x:v>
      </x:c>
      <x:c r="L232" t="n">
        <x:v>40</x:v>
      </x:c>
      <x:c r="M232"/>
      <x:c r="N232"/>
      <x:c r="O232"/>
      <x:c r="P232" t="str">
        <x:v>1 A 2 DIAS</x:v>
      </x:c>
      <x:c r="Q232"/>
      <x:c r="R232" t="str">
        <x:v>ORIGINAL</x:v>
      </x:c>
      <x:c r="S232" t="str">
        <x:v>NÃO</x:v>
      </x:c>
      <x:c r="T232" t="str">
        <x:v>REVISAR_OK</x:v>
      </x:c>
      <x:c r="U232" t="str">
        <x:v>TABELA MARAJO CARGAS (MF LOBATO).pdf</x:v>
      </x:c>
      <x:c r="V232" t="str">
        <x:v>2</x:v>
      </x:c>
      <x:c r="W232" t="str">
        <x:v>Cadastrado a partir da tabela Marajó Cargas / M. F. Lobato enviada como fonte.</x:v>
      </x:c>
      <x:c r="X232"/>
      <x:c r="Y232"/>
      <x:c r="Z232"/>
      <x:c r="AA232"/>
      <x:c r="AB232"/>
      <x:c r="AC232" t="str">
        <x:v>SIM</x:v>
      </x:c>
      <x:c r="AD232" t="str">
        <x:v>M. F. LOBATO</x:v>
      </x:c>
      <x:c r="AE232" t="str">
        <x:v>PERCENTUAL</x:v>
      </x:c>
      <x:c r="AF232"/>
      <x:c r="AG232" t="str">
        <x:v>2.6.46</x:v>
      </x:c>
      <x:c r="AH232" t="str">
        <x:v>Frete base × percentual; aplicar frete mínimo quando maior. Bloco percentual ativado; controle visual passivo.</x:v>
      </x:c>
      <x:c r="AI232"/>
    </x:row>
    <x:row r="233">
      <x:c r="A233" t="str">
        <x:v>MF_LOBATO_0021</x:v>
      </x:c>
      <x:c r="B233" t="str">
        <x:v>MF_LOBATO</x:v>
      </x:c>
      <x:c r="C233"/>
      <x:c r="D233"/>
      <x:c r="E233" t="str">
        <x:v>Belém</x:v>
      </x:c>
      <x:c r="F233" t="str">
        <x:v>PA</x:v>
      </x:c>
      <x:c r="G233" t="str">
        <x:v>Portel</x:v>
      </x:c>
      <x:c r="H233" t="str">
        <x:v>PA</x:v>
      </x:c>
      <x:c r="I233" t="str">
        <x:v>MARAJO CARGAS LOCALIDADES</x:v>
      </x:c>
      <x:c r="J233" t="str">
        <x:v>Tabela percentual</x:v>
      </x:c>
      <x:c r="K233" t="str">
        <x:v>40%</x:v>
      </x:c>
      <x:c r="L233" t="n">
        <x:v>40</x:v>
      </x:c>
      <x:c r="M233"/>
      <x:c r="N233"/>
      <x:c r="O233"/>
      <x:c r="P233" t="str">
        <x:v>2 A 3 DIAS</x:v>
      </x:c>
      <x:c r="Q233"/>
      <x:c r="R233" t="str">
        <x:v>ORIGINAL</x:v>
      </x:c>
      <x:c r="S233" t="str">
        <x:v>NÃO</x:v>
      </x:c>
      <x:c r="T233" t="str">
        <x:v>REVISAR_OK</x:v>
      </x:c>
      <x:c r="U233" t="str">
        <x:v>TABELA MARAJO CARGAS (MF LOBATO).pdf</x:v>
      </x:c>
      <x:c r="V233" t="str">
        <x:v>2</x:v>
      </x:c>
      <x:c r="W233" t="str">
        <x:v>Cadastrado a partir da tabela Marajó Cargas / M. F. Lobato enviada como fonte.</x:v>
      </x:c>
      <x:c r="X233"/>
      <x:c r="Y233"/>
      <x:c r="Z233"/>
      <x:c r="AA233"/>
      <x:c r="AB233"/>
      <x:c r="AC233" t="str">
        <x:v>SIM</x:v>
      </x:c>
      <x:c r="AD233" t="str">
        <x:v>M. F. LOBATO</x:v>
      </x:c>
      <x:c r="AE233" t="str">
        <x:v>PERCENTUAL</x:v>
      </x:c>
      <x:c r="AF233"/>
      <x:c r="AG233" t="str">
        <x:v>2.6.46</x:v>
      </x:c>
      <x:c r="AH233" t="str">
        <x:v>Frete base × percentual; aplicar frete mínimo quando maior. Bloco percentual ativado; controle visual passivo.</x:v>
      </x:c>
      <x:c r="AI233"/>
    </x:row>
    <x:row r="234">
      <x:c r="A234" t="str">
        <x:v>MF_LOBATO_0022</x:v>
      </x:c>
      <x:c r="B234" t="str">
        <x:v>MF_LOBATO</x:v>
      </x:c>
      <x:c r="C234"/>
      <x:c r="D234"/>
      <x:c r="E234" t="str">
        <x:v>Belém</x:v>
      </x:c>
      <x:c r="F234" t="str">
        <x:v>PA</x:v>
      </x:c>
      <x:c r="G234" t="str">
        <x:v>Santa Cruz do Arari</x:v>
      </x:c>
      <x:c r="H234" t="str">
        <x:v>PA</x:v>
      </x:c>
      <x:c r="I234" t="str">
        <x:v>MARAJO CARGAS LOCALIDADES</x:v>
      </x:c>
      <x:c r="J234" t="str">
        <x:v>Tabela percentual</x:v>
      </x:c>
      <x:c r="K234" t="str">
        <x:v>45%</x:v>
      </x:c>
      <x:c r="L234" t="n">
        <x:v>40</x:v>
      </x:c>
      <x:c r="M234"/>
      <x:c r="N234"/>
      <x:c r="O234"/>
      <x:c r="P234" t="str">
        <x:v>1 A 2 DIAS</x:v>
      </x:c>
      <x:c r="Q234"/>
      <x:c r="R234" t="str">
        <x:v>ORIGINAL</x:v>
      </x:c>
      <x:c r="S234" t="str">
        <x:v>NÃO</x:v>
      </x:c>
      <x:c r="T234" t="str">
        <x:v>REVISAR_OK</x:v>
      </x:c>
      <x:c r="U234" t="str">
        <x:v>TABELA MARAJO CARGAS (MF LOBATO).pdf</x:v>
      </x:c>
      <x:c r="V234" t="str">
        <x:v>2</x:v>
      </x:c>
      <x:c r="W234" t="str">
        <x:v>Cadastrado a partir da tabela Marajó Cargas / M. F. Lobato enviada como fonte.</x:v>
      </x:c>
      <x:c r="X234"/>
      <x:c r="Y234"/>
      <x:c r="Z234"/>
      <x:c r="AA234"/>
      <x:c r="AB234"/>
      <x:c r="AC234" t="str">
        <x:v>SIM</x:v>
      </x:c>
      <x:c r="AD234" t="str">
        <x:v>M. F. LOBATO</x:v>
      </x:c>
      <x:c r="AE234" t="str">
        <x:v>PERCENTUAL</x:v>
      </x:c>
      <x:c r="AF234"/>
      <x:c r="AG234" t="str">
        <x:v>2.6.46</x:v>
      </x:c>
      <x:c r="AH234" t="str">
        <x:v>Frete base × percentual; aplicar frete mínimo quando maior. Bloco percentual ativado; controle visual passivo.</x:v>
      </x:c>
      <x:c r="AI234"/>
    </x:row>
    <x:row r="235">
      <x:c r="A235" t="str">
        <x:v>MF_LOBATO_0023</x:v>
      </x:c>
      <x:c r="B235" t="str">
        <x:v>MF_LOBATO</x:v>
      </x:c>
      <x:c r="C235"/>
      <x:c r="D235"/>
      <x:c r="E235" t="str">
        <x:v>Belém</x:v>
      </x:c>
      <x:c r="F235" t="str">
        <x:v>PA</x:v>
      </x:c>
      <x:c r="G235" t="str">
        <x:v>São Sebastião da Boa Vista</x:v>
      </x:c>
      <x:c r="H235" t="str">
        <x:v>PA</x:v>
      </x:c>
      <x:c r="I235" t="str">
        <x:v>MARAJO CARGAS LOCALIDADES</x:v>
      </x:c>
      <x:c r="J235" t="str">
        <x:v>Tabela percentual</x:v>
      </x:c>
      <x:c r="K235" t="str">
        <x:v>40%</x:v>
      </x:c>
      <x:c r="L235" t="n">
        <x:v>40</x:v>
      </x:c>
      <x:c r="M235"/>
      <x:c r="N235"/>
      <x:c r="O235"/>
      <x:c r="P235" t="str">
        <x:v>1 A 2 DIAS</x:v>
      </x:c>
      <x:c r="Q235"/>
      <x:c r="R235" t="str">
        <x:v>ORIGINAL</x:v>
      </x:c>
      <x:c r="S235" t="str">
        <x:v>NÃO</x:v>
      </x:c>
      <x:c r="T235" t="str">
        <x:v>REVISAR_OK</x:v>
      </x:c>
      <x:c r="U235" t="str">
        <x:v>TABELA MARAJO CARGAS (MF LOBATO).pdf</x:v>
      </x:c>
      <x:c r="V235" t="str">
        <x:v>2</x:v>
      </x:c>
      <x:c r="W235" t="str">
        <x:v>Cadastrado a partir da tabela Marajó Cargas / M. F. Lobato enviada como fonte.</x:v>
      </x:c>
      <x:c r="X235"/>
      <x:c r="Y235"/>
      <x:c r="Z235"/>
      <x:c r="AA235"/>
      <x:c r="AB235"/>
      <x:c r="AC235" t="str">
        <x:v>SIM</x:v>
      </x:c>
      <x:c r="AD235" t="str">
        <x:v>M. F. LOBATO</x:v>
      </x:c>
      <x:c r="AE235" t="str">
        <x:v>PERCENTUAL</x:v>
      </x:c>
      <x:c r="AF235"/>
      <x:c r="AG235" t="str">
        <x:v>2.6.46</x:v>
      </x:c>
      <x:c r="AH235" t="str">
        <x:v>Frete base × percentual; aplicar frete mínimo quando maior. Bloco percentual ativado; controle visual passivo.</x:v>
      </x:c>
      <x:c r="AI235"/>
    </x:row>
    <x:row r="236">
      <x:c r="A236" t="str">
        <x:v>MF_LOBATO_0024</x:v>
      </x:c>
      <x:c r="B236" t="str">
        <x:v>MF_LOBATO</x:v>
      </x:c>
      <x:c r="C236"/>
      <x:c r="D236"/>
      <x:c r="E236" t="str">
        <x:v>Belém</x:v>
      </x:c>
      <x:c r="F236" t="str">
        <x:v>PA</x:v>
      </x:c>
      <x:c r="G236" t="str">
        <x:v>Salvaterra</x:v>
      </x:c>
      <x:c r="H236" t="str">
        <x:v>PA</x:v>
      </x:c>
      <x:c r="I236" t="str">
        <x:v>MARAJO CARGAS LOCALIDADES</x:v>
      </x:c>
      <x:c r="J236" t="str">
        <x:v>Tabela percentual</x:v>
      </x:c>
      <x:c r="K236" t="str">
        <x:v>40%</x:v>
      </x:c>
      <x:c r="L236" t="n">
        <x:v>40</x:v>
      </x:c>
      <x:c r="M236"/>
      <x:c r="N236"/>
      <x:c r="O236"/>
      <x:c r="P236" t="str">
        <x:v>1 A 2 DIAS</x:v>
      </x:c>
      <x:c r="Q236"/>
      <x:c r="R236" t="str">
        <x:v>ORIGINAL</x:v>
      </x:c>
      <x:c r="S236" t="str">
        <x:v>NÃO</x:v>
      </x:c>
      <x:c r="T236" t="str">
        <x:v>REVISAR_OK</x:v>
      </x:c>
      <x:c r="U236" t="str">
        <x:v>TABELA MARAJO CARGAS (MF LOBATO).pdf</x:v>
      </x:c>
      <x:c r="V236" t="str">
        <x:v>2</x:v>
      </x:c>
      <x:c r="W236" t="str">
        <x:v>Cadastrado a partir da tabela Marajó Cargas / M. F. Lobato enviada como fonte.</x:v>
      </x:c>
      <x:c r="X236"/>
      <x:c r="Y236"/>
      <x:c r="Z236"/>
      <x:c r="AA236"/>
      <x:c r="AB236"/>
      <x:c r="AC236" t="str">
        <x:v>SIM</x:v>
      </x:c>
      <x:c r="AD236" t="str">
        <x:v>M. F. LOBATO</x:v>
      </x:c>
      <x:c r="AE236" t="str">
        <x:v>PERCENTUAL</x:v>
      </x:c>
      <x:c r="AF236"/>
      <x:c r="AG236" t="str">
        <x:v>2.6.46</x:v>
      </x:c>
      <x:c r="AH236" t="str">
        <x:v>Frete base × percentual; aplicar frete mínimo quando maior. Bloco percentual ativado; controle visual passivo.</x:v>
      </x:c>
      <x:c r="AI236"/>
    </x:row>
    <x:row r="237">
      <x:c r="A237" t="str">
        <x:v>MF_LOBATO_0025</x:v>
      </x:c>
      <x:c r="B237" t="str">
        <x:v>MF_LOBATO</x:v>
      </x:c>
      <x:c r="C237"/>
      <x:c r="D237"/>
      <x:c r="E237" t="str">
        <x:v>Belém</x:v>
      </x:c>
      <x:c r="F237" t="str">
        <x:v>PA</x:v>
      </x:c>
      <x:c r="G237" t="str">
        <x:v>Soure</x:v>
      </x:c>
      <x:c r="H237" t="str">
        <x:v>PA</x:v>
      </x:c>
      <x:c r="I237" t="str">
        <x:v>MARAJO CARGAS LOCALIDADES</x:v>
      </x:c>
      <x:c r="J237" t="str">
        <x:v>Tabela percentual</x:v>
      </x:c>
      <x:c r="K237" t="str">
        <x:v>40%</x:v>
      </x:c>
      <x:c r="L237" t="n">
        <x:v>40</x:v>
      </x:c>
      <x:c r="M237"/>
      <x:c r="N237"/>
      <x:c r="O237"/>
      <x:c r="P237" t="str">
        <x:v>1 A 2 DIAS</x:v>
      </x:c>
      <x:c r="Q237"/>
      <x:c r="R237" t="str">
        <x:v>ORIGINAL</x:v>
      </x:c>
      <x:c r="S237" t="str">
        <x:v>NÃO</x:v>
      </x:c>
      <x:c r="T237" t="str">
        <x:v>REVISAR_OK</x:v>
      </x:c>
      <x:c r="U237" t="str">
        <x:v>TABELA MARAJO CARGAS (MF LOBATO).pdf</x:v>
      </x:c>
      <x:c r="V237" t="str">
        <x:v>2</x:v>
      </x:c>
      <x:c r="W237" t="str">
        <x:v>Cadastrado a partir da tabela Marajó Cargas / M. F. Lobato enviada como fonte.</x:v>
      </x:c>
      <x:c r="X237"/>
      <x:c r="Y237"/>
      <x:c r="Z237"/>
      <x:c r="AA237"/>
      <x:c r="AB237"/>
      <x:c r="AC237" t="str">
        <x:v>SIM</x:v>
      </x:c>
      <x:c r="AD237" t="str">
        <x:v>M. F. LOBATO</x:v>
      </x:c>
      <x:c r="AE237" t="str">
        <x:v>PERCENTUAL</x:v>
      </x:c>
      <x:c r="AF237"/>
      <x:c r="AG237" t="str">
        <x:v>2.6.46</x:v>
      </x:c>
      <x:c r="AH237" t="str">
        <x:v>Frete base × percentual; aplicar frete mínimo quando maior. Bloco percentual ativado; controle visual passivo.</x:v>
      </x:c>
      <x:c r="AI237"/>
    </x:row>
    <x:row r="238">
      <x:c r="A238" t="str">
        <x:v>MF_LOBATO_0026</x:v>
      </x:c>
      <x:c r="B238" t="str">
        <x:v>MF_LOBATO</x:v>
      </x:c>
      <x:c r="C238"/>
      <x:c r="D238"/>
      <x:c r="E238" t="str">
        <x:v>Belém</x:v>
      </x:c>
      <x:c r="F238" t="str">
        <x:v>PA</x:v>
      </x:c>
      <x:c r="G238" t="str">
        <x:v>Vila Munguba</x:v>
      </x:c>
      <x:c r="H238" t="str">
        <x:v>PA</x:v>
      </x:c>
      <x:c r="I238" t="str">
        <x:v>MARAJO CARGAS LOCALIDADES</x:v>
      </x:c>
      <x:c r="J238" t="str">
        <x:v>Tabela percentual</x:v>
      </x:c>
      <x:c r="K238" t="str">
        <x:v>35%</x:v>
      </x:c>
      <x:c r="L238" t="n">
        <x:v>40</x:v>
      </x:c>
      <x:c r="M238"/>
      <x:c r="N238"/>
      <x:c r="O238"/>
      <x:c r="P238" t="str">
        <x:v>3 A 4 DIAS</x:v>
      </x:c>
      <x:c r="Q238"/>
      <x:c r="R238" t="str">
        <x:v>ORIGINAL</x:v>
      </x:c>
      <x:c r="S238" t="str">
        <x:v>NÃO</x:v>
      </x:c>
      <x:c r="T238" t="str">
        <x:v>REVISAR_OK</x:v>
      </x:c>
      <x:c r="U238" t="str">
        <x:v>TABELA MARAJO CARGAS (MF LOBATO).pdf</x:v>
      </x:c>
      <x:c r="V238" t="str">
        <x:v>2</x:v>
      </x:c>
      <x:c r="W238" t="str">
        <x:v>Cadastrado a partir da tabela Marajó Cargas / M. F. Lobato enviada como fonte.</x:v>
      </x:c>
      <x:c r="X238"/>
      <x:c r="Y238"/>
      <x:c r="Z238"/>
      <x:c r="AA238"/>
      <x:c r="AB238"/>
      <x:c r="AC238" t="str">
        <x:v>SIM</x:v>
      </x:c>
      <x:c r="AD238" t="str">
        <x:v>M. F. LOBATO</x:v>
      </x:c>
      <x:c r="AE238" t="str">
        <x:v>PERCENTUAL</x:v>
      </x:c>
      <x:c r="AF238"/>
      <x:c r="AG238" t="str">
        <x:v>2.6.46</x:v>
      </x:c>
      <x:c r="AH238" t="str">
        <x:v>Frete base × percentual; aplicar frete mínimo quando maior. Bloco percentual ativado; controle visual passivo.</x:v>
      </x:c>
      <x:c r="AI238"/>
    </x:row>
    <x:row r="239">
      <x:c r="A239" t="str">
        <x:v>MF_LOBATO_0027</x:v>
      </x:c>
      <x:c r="B239" t="str">
        <x:v>MF_LOBATO</x:v>
      </x:c>
      <x:c r="C239"/>
      <x:c r="D239"/>
      <x:c r="E239" t="str">
        <x:v>Belém</x:v>
      </x:c>
      <x:c r="F239" t="str">
        <x:v>PA</x:v>
      </x:c>
      <x:c r="G239" t="str">
        <x:v>Porto de Moz</x:v>
      </x:c>
      <x:c r="H239" t="str">
        <x:v>PA</x:v>
      </x:c>
      <x:c r="I239" t="str">
        <x:v>MARAJO CARGAS LOCALIDADES</x:v>
      </x:c>
      <x:c r="J239" t="str">
        <x:v>Tabela percentual</x:v>
      </x:c>
      <x:c r="K239" t="str">
        <x:v>40%</x:v>
      </x:c>
      <x:c r="L239" t="n">
        <x:v>50</x:v>
      </x:c>
      <x:c r="M239"/>
      <x:c r="N239"/>
      <x:c r="O239"/>
      <x:c r="P239" t="str">
        <x:v>3 A 4 DIAS</x:v>
      </x:c>
      <x:c r="Q239"/>
      <x:c r="R239" t="str">
        <x:v>ORIGINAL</x:v>
      </x:c>
      <x:c r="S239" t="str">
        <x:v>NÃO</x:v>
      </x:c>
      <x:c r="T239" t="str">
        <x:v>REVISAR_OK</x:v>
      </x:c>
      <x:c r="U239" t="str">
        <x:v>TABELA MARAJO CARGAS (MF LOBATO).pdf</x:v>
      </x:c>
      <x:c r="V239" t="str">
        <x:v>2</x:v>
      </x:c>
      <x:c r="W239" t="str">
        <x:v>Cadastrado a partir da tabela Marajó Cargas / M. F. Lobato enviada como fonte.</x:v>
      </x:c>
      <x:c r="X239"/>
      <x:c r="Y239"/>
      <x:c r="Z239"/>
      <x:c r="AA239"/>
      <x:c r="AB239"/>
      <x:c r="AC239" t="str">
        <x:v>SIM</x:v>
      </x:c>
      <x:c r="AD239" t="str">
        <x:v>M. F. LOBATO</x:v>
      </x:c>
      <x:c r="AE239" t="str">
        <x:v>PERCENTUAL</x:v>
      </x:c>
      <x:c r="AF239"/>
      <x:c r="AG239" t="str">
        <x:v>2.6.46</x:v>
      </x:c>
      <x:c r="AH239" t="str">
        <x:v>Frete base × percentual; aplicar frete mínimo quando maior. Bloco percentual ativado; controle visual passivo.</x:v>
      </x:c>
      <x:c r="AI239"/>
    </x:row>
    <x:row r="240">
      <x:c r="A240" t="str">
        <x:v>MF_LOBATO_0028</x:v>
      </x:c>
      <x:c r="B240" t="str">
        <x:v>MF_LOBATO</x:v>
      </x:c>
      <x:c r="C240"/>
      <x:c r="D240"/>
      <x:c r="E240" t="str">
        <x:v>Belém</x:v>
      </x:c>
      <x:c r="F240" t="str">
        <x:v>PA</x:v>
      </x:c>
      <x:c r="G240" t="str">
        <x:v>Senador José Porfírio</x:v>
      </x:c>
      <x:c r="H240" t="str">
        <x:v>PA</x:v>
      </x:c>
      <x:c r="I240" t="str">
        <x:v>MARAJO CARGAS LOCALIDADES</x:v>
      </x:c>
      <x:c r="J240" t="str">
        <x:v>Tabela percentual</x:v>
      </x:c>
      <x:c r="K240" t="str">
        <x:v>7%</x:v>
      </x:c>
      <x:c r="L240" t="n">
        <x:v>150</x:v>
      </x:c>
      <x:c r="M240"/>
      <x:c r="N240"/>
      <x:c r="O240"/>
      <x:c r="P240" t="str">
        <x:v>3 A 4 DIAS</x:v>
      </x:c>
      <x:c r="Q240"/>
      <x:c r="R240" t="str">
        <x:v>MERCADORIA</x:v>
      </x:c>
      <x:c r="S240" t="str">
        <x:v>NÃO</x:v>
      </x:c>
      <x:c r="T240" t="str">
        <x:v>REVISAR_OK</x:v>
      </x:c>
      <x:c r="U240" t="str">
        <x:v>TABELA MARAJO CARGAS (MF LOBATO).pdf</x:v>
      </x:c>
      <x:c r="V240" t="str">
        <x:v>1</x:v>
      </x:c>
      <x:c r="W240" t="str">
        <x:v>Regra RE9070 mais recente: Senador José Porfírio 7% sobre o valor da mercadoria, com mínimo de R$150,00. Substitui a regra antiga de 45% sobre o frete original.</x:v>
      </x:c>
      <x:c r="X240"/>
      <x:c r="Y240"/>
      <x:c r="Z240"/>
      <x:c r="AA240"/>
      <x:c r="AB240"/>
      <x:c r="AC240" t="str">
        <x:v>SIM</x:v>
      </x:c>
      <x:c r="AD240" t="str">
        <x:v>M. F. LOBATO</x:v>
      </x:c>
      <x:c r="AE240" t="str">
        <x:v>PERCENTUAL_MERCADORIA</x:v>
      </x:c>
      <x:c r="AF240"/>
      <x:c r="AG240" t="str">
        <x:v>2.7.0 RC12</x:v>
      </x:c>
      <x:c r="AH240" t="str">
        <x:v>Valor esperado = maior entre 7% do valor da mercadoria e R$150,00. Regra mais recente da proposta de 11/03/2026.</x:v>
      </x:c>
      <x:c r="AI240"/>
    </x:row>
    <x:row r="241">
      <x:c r="A241" t="str">
        <x:v>MILAYDE_LOBATO_0001</x:v>
      </x:c>
      <x:c r="B241" t="str">
        <x:v>MILAYDE_LOBATO</x:v>
      </x:c>
      <x:c r="C241"/>
      <x:c r="D241"/>
      <x:c r="E241" t="str">
        <x:v>Ananindeua</x:v>
      </x:c>
      <x:c r="F241" t="str">
        <x:v>PA</x:v>
      </x:c>
      <x:c r="G241" t="str">
        <x:v>Prainha</x:v>
      </x:c>
      <x:c r="H241" t="str">
        <x:v>PA</x:v>
      </x:c>
      <x:c r="I241" t="str">
        <x:v>ORIGEM ANANINDEUA</x:v>
      </x:c>
      <x:c r="J241"/>
      <x:c r="K241" t="str">
        <x:v>35%</x:v>
      </x:c>
      <x:c r="L241" t="n">
        <x:v>92</x:v>
      </x:c>
      <x:c r="M241"/>
      <x:c r="N241"/>
      <x:c r="O241"/>
      <x:c r="P241" t="str">
        <x:v>8 a 10 dias / revisar</x:v>
      </x:c>
      <x:c r="Q241" t="str">
        <x:v>3ª e 6ª Feira / revisar</x:v>
      </x:c>
      <x:c r="R241" t="str">
        <x:v>ORIGINAL</x:v>
      </x:c>
      <x:c r="S241" t="str">
        <x:v>NÃO</x:v>
      </x:c>
      <x:c r="T241" t="str">
        <x:v>REVISAR_OK</x:v>
      </x:c>
      <x:c r="U241" t="str">
        <x:v>TABELA MILAYDE PATRICIA.pdf</x:v>
      </x:c>
      <x:c r="V241" t="str">
        <x:v>1</x:v>
      </x:c>
      <x:c r="W241" t="str">
        <x:v>MILAYDE = FÊNIX confirmado pelo usuário. Regra Fênix aplicada ao CNPJ Milayde.</x:v>
      </x:c>
      <x:c r="X241"/>
      <x:c r="Y241"/>
      <x:c r="Z241"/>
      <x:c r="AA241"/>
      <x:c r="AB241"/>
      <x:c r="AC241" t="str">
        <x:v>SIM</x:v>
      </x:c>
      <x:c r="AD241" t="str">
        <x:v>MILAYDE</x:v>
      </x:c>
      <x:c r="AE241" t="str">
        <x:v>PERCENTUAL</x:v>
      </x:c>
      <x:c r="AF241"/>
      <x:c r="AG241" t="str">
        <x:v>2.6.46</x:v>
      </x:c>
      <x:c r="AH241" t="str">
        <x:v>Frete base × percentual; aplicar frete mínimo quando maior. Bloco percentual ativado; controle visual passivo. Obs.: frete gatilho por kg citado na fonte não automatizado nesta etapa.</x:v>
      </x:c>
      <x:c r="AI241"/>
    </x:row>
    <x:row r="242">
      <x:c r="A242" t="str">
        <x:v>MILAYDE_LOBATO_0002</x:v>
      </x:c>
      <x:c r="B242" t="str">
        <x:v>MILAYDE_LOBATO</x:v>
      </x:c>
      <x:c r="C242"/>
      <x:c r="D242"/>
      <x:c r="E242" t="str">
        <x:v>Ananindeua</x:v>
      </x:c>
      <x:c r="F242" t="str">
        <x:v>PA</x:v>
      </x:c>
      <x:c r="G242" t="str">
        <x:v>Monte Alegre</x:v>
      </x:c>
      <x:c r="H242" t="str">
        <x:v>PA</x:v>
      </x:c>
      <x:c r="I242" t="str">
        <x:v>ORIGEM ANANINDEUA</x:v>
      </x:c>
      <x:c r="J242"/>
      <x:c r="K242" t="str">
        <x:v>35%</x:v>
      </x:c>
      <x:c r="L242" t="n">
        <x:v>92</x:v>
      </x:c>
      <x:c r="M242"/>
      <x:c r="N242"/>
      <x:c r="O242"/>
      <x:c r="P242" t="str">
        <x:v>8 a 10 dias / revisar</x:v>
      </x:c>
      <x:c r="Q242" t="str">
        <x:v>3ª e 6ª Feira / revisar</x:v>
      </x:c>
      <x:c r="R242" t="str">
        <x:v>ORIGINAL</x:v>
      </x:c>
      <x:c r="S242" t="str">
        <x:v>NÃO</x:v>
      </x:c>
      <x:c r="T242" t="str">
        <x:v>REVISAR_OK</x:v>
      </x:c>
      <x:c r="U242" t="str">
        <x:v>TABELA MILAYDE PATRICIA.pdf</x:v>
      </x:c>
      <x:c r="V242" t="str">
        <x:v>1</x:v>
      </x:c>
      <x:c r="W242" t="str">
        <x:v>MILAYDE = FÊNIX confirmado pelo usuário. Regra Fênix aplicada ao CNPJ Milayde.</x:v>
      </x:c>
      <x:c r="X242"/>
      <x:c r="Y242"/>
      <x:c r="Z242"/>
      <x:c r="AA242"/>
      <x:c r="AB242"/>
      <x:c r="AC242" t="str">
        <x:v>SIM</x:v>
      </x:c>
      <x:c r="AD242" t="str">
        <x:v>MILAYDE</x:v>
      </x:c>
      <x:c r="AE242" t="str">
        <x:v>PERCENTUAL</x:v>
      </x:c>
      <x:c r="AF242"/>
      <x:c r="AG242" t="str">
        <x:v>2.6.46</x:v>
      </x:c>
      <x:c r="AH242" t="str">
        <x:v>Frete base × percentual; aplicar frete mínimo quando maior. Bloco percentual ativado; controle visual passivo. Obs.: frete gatilho por kg citado na fonte não automatizado nesta etapa.</x:v>
      </x:c>
      <x:c r="AI242"/>
    </x:row>
    <x:row r="243">
      <x:c r="A243" t="str">
        <x:v>MILAYDE_LOBATO_0003</x:v>
      </x:c>
      <x:c r="B243" t="str">
        <x:v>MILAYDE_LOBATO</x:v>
      </x:c>
      <x:c r="C243"/>
      <x:c r="D243"/>
      <x:c r="E243" t="str">
        <x:v>Ananindeua</x:v>
      </x:c>
      <x:c r="F243" t="str">
        <x:v>PA</x:v>
      </x:c>
      <x:c r="G243" t="str">
        <x:v>Santarém</x:v>
      </x:c>
      <x:c r="H243" t="str">
        <x:v>PA</x:v>
      </x:c>
      <x:c r="I243" t="str">
        <x:v>ORIGEM ANANINDEUA</x:v>
      </x:c>
      <x:c r="J243"/>
      <x:c r="K243" t="str">
        <x:v>33%</x:v>
      </x:c>
      <x:c r="L243" t="n">
        <x:v>92</x:v>
      </x:c>
      <x:c r="M243"/>
      <x:c r="N243"/>
      <x:c r="O243"/>
      <x:c r="P243" t="str">
        <x:v>8 a 10 dias / revisar</x:v>
      </x:c>
      <x:c r="Q243" t="str">
        <x:v>3ª e 6ª Feira / revisar</x:v>
      </x:c>
      <x:c r="R243" t="str">
        <x:v>ORIGINAL</x:v>
      </x:c>
      <x:c r="S243" t="str">
        <x:v>NÃO</x:v>
      </x:c>
      <x:c r="T243" t="str">
        <x:v>REVISAR_OK</x:v>
      </x:c>
      <x:c r="U243" t="str">
        <x:v>TABELA MILAYDE PATRICIA.pdf</x:v>
      </x:c>
      <x:c r="V243" t="str">
        <x:v>1</x:v>
      </x:c>
      <x:c r="W243" t="str">
        <x:v>MILAYDE = FÊNIX confirmado pelo usuário. Regra Fênix aplicada ao CNPJ Milayde.</x:v>
      </x:c>
      <x:c r="X243"/>
      <x:c r="Y243"/>
      <x:c r="Z243"/>
      <x:c r="AA243"/>
      <x:c r="AB243"/>
      <x:c r="AC243" t="str">
        <x:v>SIM</x:v>
      </x:c>
      <x:c r="AD243" t="str">
        <x:v>MILAYDE</x:v>
      </x:c>
      <x:c r="AE243" t="str">
        <x:v>PERCENTUAL</x:v>
      </x:c>
      <x:c r="AF243"/>
      <x:c r="AG243" t="str">
        <x:v>2.6.46</x:v>
      </x:c>
      <x:c r="AH243" t="str">
        <x:v>Frete base × percentual; aplicar frete mínimo quando maior. Bloco percentual ativado; controle visual passivo. Obs.: frete gatilho por kg citado na fonte não automatizado nesta etapa.</x:v>
      </x:c>
      <x:c r="AI243"/>
    </x:row>
    <x:row r="244">
      <x:c r="A244" t="str">
        <x:v>MILAYDE_LOBATO_0004</x:v>
      </x:c>
      <x:c r="B244" t="str">
        <x:v>MILAYDE_LOBATO</x:v>
      </x:c>
      <x:c r="C244"/>
      <x:c r="D244"/>
      <x:c r="E244" t="str">
        <x:v>Ananindeua</x:v>
      </x:c>
      <x:c r="F244" t="str">
        <x:v>PA</x:v>
      </x:c>
      <x:c r="G244" t="str">
        <x:v>Itaituba</x:v>
      </x:c>
      <x:c r="H244" t="str">
        <x:v>PA</x:v>
      </x:c>
      <x:c r="I244" t="str">
        <x:v>ORIGEM ANANINDEUA</x:v>
      </x:c>
      <x:c r="J244"/>
      <x:c r="K244" t="str">
        <x:v>40%</x:v>
      </x:c>
      <x:c r="L244" t="n">
        <x:v>138</x:v>
      </x:c>
      <x:c r="M244"/>
      <x:c r="N244"/>
      <x:c r="O244"/>
      <x:c r="P244" t="str">
        <x:v>8 a 10 dias / revisar</x:v>
      </x:c>
      <x:c r="Q244" t="str">
        <x:v>3ª e 6ª Feira / revisar</x:v>
      </x:c>
      <x:c r="R244" t="str">
        <x:v>ORIGINAL</x:v>
      </x:c>
      <x:c r="S244" t="str">
        <x:v>NÃO</x:v>
      </x:c>
      <x:c r="T244" t="str">
        <x:v>REVISAR_OK</x:v>
      </x:c>
      <x:c r="U244" t="str">
        <x:v>TABELA MILAYDE PATRICIA.pdf</x:v>
      </x:c>
      <x:c r="V244" t="str">
        <x:v>1</x:v>
      </x:c>
      <x:c r="W244" t="str">
        <x:v>MILAYDE = FÊNIX confirmado pelo usuário. Regra Fênix aplicada ao CNPJ Milayde.</x:v>
      </x:c>
      <x:c r="X244"/>
      <x:c r="Y244"/>
      <x:c r="Z244"/>
      <x:c r="AA244"/>
      <x:c r="AB244"/>
      <x:c r="AC244" t="str">
        <x:v>SIM</x:v>
      </x:c>
      <x:c r="AD244" t="str">
        <x:v>MILAYDE</x:v>
      </x:c>
      <x:c r="AE244" t="str">
        <x:v>PERCENTUAL</x:v>
      </x:c>
      <x:c r="AF244"/>
      <x:c r="AG244" t="str">
        <x:v>2.6.46</x:v>
      </x:c>
      <x:c r="AH244" t="str">
        <x:v>Frete base × percentual; aplicar frete mínimo quando maior. Bloco percentual ativado; controle visual passivo. Obs.: frete gatilho por kg citado na fonte não automatizado nesta etapa.</x:v>
      </x:c>
      <x:c r="AI244"/>
    </x:row>
    <x:row r="245">
      <x:c r="A245" t="str">
        <x:v>MILAYDE_LOBATO_0005</x:v>
      </x:c>
      <x:c r="B245" t="str">
        <x:v>MILAYDE_LOBATO</x:v>
      </x:c>
      <x:c r="C245"/>
      <x:c r="D245"/>
      <x:c r="E245" t="str">
        <x:v>Ananindeua</x:v>
      </x:c>
      <x:c r="F245" t="str">
        <x:v>PA</x:v>
      </x:c>
      <x:c r="G245" t="str">
        <x:v>Alenquer</x:v>
      </x:c>
      <x:c r="H245" t="str">
        <x:v>PA</x:v>
      </x:c>
      <x:c r="I245" t="str">
        <x:v>ORIGEM ANANINDEUA</x:v>
      </x:c>
      <x:c r="J245"/>
      <x:c r="K245" t="str">
        <x:v>40%</x:v>
      </x:c>
      <x:c r="L245" t="n">
        <x:v>138</x:v>
      </x:c>
      <x:c r="M245"/>
      <x:c r="N245"/>
      <x:c r="O245"/>
      <x:c r="P245" t="str">
        <x:v>8 a 10 dias / revisar</x:v>
      </x:c>
      <x:c r="Q245" t="str">
        <x:v>3ª e 6ª Feira / revisar</x:v>
      </x:c>
      <x:c r="R245" t="str">
        <x:v>ORIGINAL</x:v>
      </x:c>
      <x:c r="S245" t="str">
        <x:v>NÃO</x:v>
      </x:c>
      <x:c r="T245" t="str">
        <x:v>REVISAR_OK</x:v>
      </x:c>
      <x:c r="U245" t="str">
        <x:v>TABELA MILAYDE PATRICIA.pdf</x:v>
      </x:c>
      <x:c r="V245" t="str">
        <x:v>1</x:v>
      </x:c>
      <x:c r="W245" t="str">
        <x:v>MILAYDE = FÊNIX confirmado pelo usuário. Regra Fênix aplicada ao CNPJ Milayde.</x:v>
      </x:c>
      <x:c r="X245"/>
      <x:c r="Y245"/>
      <x:c r="Z245"/>
      <x:c r="AA245"/>
      <x:c r="AB245"/>
      <x:c r="AC245" t="str">
        <x:v>SIM</x:v>
      </x:c>
      <x:c r="AD245" t="str">
        <x:v>MILAYDE</x:v>
      </x:c>
      <x:c r="AE245" t="str">
        <x:v>PERCENTUAL</x:v>
      </x:c>
      <x:c r="AF245"/>
      <x:c r="AG245" t="str">
        <x:v>2.6.46</x:v>
      </x:c>
      <x:c r="AH245" t="str">
        <x:v>Frete base × percentual; aplicar frete mínimo quando maior. Bloco percentual ativado; controle visual passivo. Obs.: frete gatilho por kg citado na fonte não automatizado nesta etapa.</x:v>
      </x:c>
      <x:c r="AI245"/>
    </x:row>
    <x:row r="246">
      <x:c r="A246" t="str">
        <x:v>MILAYDE_LOBATO_0006</x:v>
      </x:c>
      <x:c r="B246" t="str">
        <x:v>MILAYDE_LOBATO</x:v>
      </x:c>
      <x:c r="C246"/>
      <x:c r="D246"/>
      <x:c r="E246" t="str">
        <x:v>Ananindeua</x:v>
      </x:c>
      <x:c r="F246" t="str">
        <x:v>PA</x:v>
      </x:c>
      <x:c r="G246" t="str">
        <x:v>Oriximiná</x:v>
      </x:c>
      <x:c r="H246" t="str">
        <x:v>PA</x:v>
      </x:c>
      <x:c r="I246" t="str">
        <x:v>ORIGEM ANANINDEUA</x:v>
      </x:c>
      <x:c r="J246"/>
      <x:c r="K246" t="str">
        <x:v>40%</x:v>
      </x:c>
      <x:c r="L246" t="n">
        <x:v>138</x:v>
      </x:c>
      <x:c r="M246"/>
      <x:c r="N246"/>
      <x:c r="O246"/>
      <x:c r="P246" t="str">
        <x:v>8 a 10 dias / revisar</x:v>
      </x:c>
      <x:c r="Q246" t="str">
        <x:v>3ª e 6ª Feira / revisar</x:v>
      </x:c>
      <x:c r="R246" t="str">
        <x:v>ORIGINAL</x:v>
      </x:c>
      <x:c r="S246" t="str">
        <x:v>NÃO</x:v>
      </x:c>
      <x:c r="T246" t="str">
        <x:v>REVISAR_OK</x:v>
      </x:c>
      <x:c r="U246" t="str">
        <x:v>TABELA MILAYDE PATRICIA.pdf</x:v>
      </x:c>
      <x:c r="V246" t="str">
        <x:v>1</x:v>
      </x:c>
      <x:c r="W246" t="str">
        <x:v>MILAYDE = FÊNIX confirmado pelo usuário. Regra Fênix aplicada ao CNPJ Milayde.</x:v>
      </x:c>
      <x:c r="X246"/>
      <x:c r="Y246"/>
      <x:c r="Z246"/>
      <x:c r="AA246"/>
      <x:c r="AB246"/>
      <x:c r="AC246" t="str">
        <x:v>SIM</x:v>
      </x:c>
      <x:c r="AD246" t="str">
        <x:v>MILAYDE</x:v>
      </x:c>
      <x:c r="AE246" t="str">
        <x:v>PERCENTUAL</x:v>
      </x:c>
      <x:c r="AF246"/>
      <x:c r="AG246" t="str">
        <x:v>2.6.46</x:v>
      </x:c>
      <x:c r="AH246" t="str">
        <x:v>Frete base × percentual; aplicar frete mínimo quando maior. Bloco percentual ativado; controle visual passivo. Obs.: frete gatilho por kg citado na fonte não automatizado nesta etapa.</x:v>
      </x:c>
      <x:c r="AI246"/>
    </x:row>
    <x:row r="247">
      <x:c r="A247" t="str">
        <x:v>MILAYDE_LOBATO_0007</x:v>
      </x:c>
      <x:c r="B247" t="str">
        <x:v>MILAYDE_LOBATO</x:v>
      </x:c>
      <x:c r="C247"/>
      <x:c r="D247"/>
      <x:c r="E247" t="str">
        <x:v>Ananindeua</x:v>
      </x:c>
      <x:c r="F247" t="str">
        <x:v>PA</x:v>
      </x:c>
      <x:c r="G247" t="str">
        <x:v>Óbidos</x:v>
      </x:c>
      <x:c r="H247" t="str">
        <x:v>PA</x:v>
      </x:c>
      <x:c r="I247" t="str">
        <x:v>ORIGEM ANANINDEUA</x:v>
      </x:c>
      <x:c r="J247"/>
      <x:c r="K247" t="str">
        <x:v>40%</x:v>
      </x:c>
      <x:c r="L247" t="n">
        <x:v>138</x:v>
      </x:c>
      <x:c r="M247"/>
      <x:c r="N247"/>
      <x:c r="O247"/>
      <x:c r="P247" t="str">
        <x:v>8 a 10 dias / revisar</x:v>
      </x:c>
      <x:c r="Q247" t="str">
        <x:v>3ª e 6ª Feira / revisar</x:v>
      </x:c>
      <x:c r="R247" t="str">
        <x:v>ORIGINAL</x:v>
      </x:c>
      <x:c r="S247" t="str">
        <x:v>NÃO</x:v>
      </x:c>
      <x:c r="T247" t="str">
        <x:v>REVISAR_OK</x:v>
      </x:c>
      <x:c r="U247" t="str">
        <x:v>TABELA MILAYDE PATRICIA.pdf</x:v>
      </x:c>
      <x:c r="V247" t="str">
        <x:v>1</x:v>
      </x:c>
      <x:c r="W247" t="str">
        <x:v>MILAYDE = FÊNIX confirmado pelo usuário. Regra Fênix aplicada ao CNPJ Milayde.</x:v>
      </x:c>
      <x:c r="X247"/>
      <x:c r="Y247"/>
      <x:c r="Z247"/>
      <x:c r="AA247"/>
      <x:c r="AB247"/>
      <x:c r="AC247" t="str">
        <x:v>SIM</x:v>
      </x:c>
      <x:c r="AD247" t="str">
        <x:v>MILAYDE</x:v>
      </x:c>
      <x:c r="AE247" t="str">
        <x:v>PERCENTUAL</x:v>
      </x:c>
      <x:c r="AF247"/>
      <x:c r="AG247" t="str">
        <x:v>2.6.46</x:v>
      </x:c>
      <x:c r="AH247" t="str">
        <x:v>Frete base × percentual; aplicar frete mínimo quando maior. Bloco percentual ativado; controle visual passivo. Obs.: frete gatilho por kg citado na fonte não automatizado nesta etapa.</x:v>
      </x:c>
      <x:c r="AI247"/>
    </x:row>
    <x:row r="248">
      <x:c r="A248" t="str">
        <x:v>MILAYDE_LOBATO_0008</x:v>
      </x:c>
      <x:c r="B248" t="str">
        <x:v>MILAYDE_LOBATO</x:v>
      </x:c>
      <x:c r="C248"/>
      <x:c r="D248"/>
      <x:c r="E248" t="str">
        <x:v>Ananindeua</x:v>
      </x:c>
      <x:c r="F248" t="str">
        <x:v>PA</x:v>
      </x:c>
      <x:c r="G248" t="str">
        <x:v>Novo Progresso</x:v>
      </x:c>
      <x:c r="H248" t="str">
        <x:v>PA</x:v>
      </x:c>
      <x:c r="I248" t="str">
        <x:v>ORIGEM ANANINDEUA</x:v>
      </x:c>
      <x:c r="J248"/>
      <x:c r="K248" t="str">
        <x:v>40%</x:v>
      </x:c>
      <x:c r="L248" t="n">
        <x:v>138</x:v>
      </x:c>
      <x:c r="M248"/>
      <x:c r="N248"/>
      <x:c r="O248"/>
      <x:c r="P248" t="str">
        <x:v>8 a 10 dias / revisar</x:v>
      </x:c>
      <x:c r="Q248" t="str">
        <x:v>3ª e 6ª Feira / revisar</x:v>
      </x:c>
      <x:c r="R248" t="str">
        <x:v>ORIGINAL</x:v>
      </x:c>
      <x:c r="S248" t="str">
        <x:v>NÃO</x:v>
      </x:c>
      <x:c r="T248" t="str">
        <x:v>REVISAR_OK</x:v>
      </x:c>
      <x:c r="U248" t="str">
        <x:v>TABELA MILAYDE PATRICIA.pdf</x:v>
      </x:c>
      <x:c r="V248" t="str">
        <x:v>1</x:v>
      </x:c>
      <x:c r="W248" t="str">
        <x:v>MILAYDE = FÊNIX confirmado pelo usuário. Regra Fênix aplicada ao CNPJ Milayde.</x:v>
      </x:c>
      <x:c r="X248"/>
      <x:c r="Y248"/>
      <x:c r="Z248"/>
      <x:c r="AA248"/>
      <x:c r="AB248"/>
      <x:c r="AC248" t="str">
        <x:v>SIM</x:v>
      </x:c>
      <x:c r="AD248" t="str">
        <x:v>MILAYDE</x:v>
      </x:c>
      <x:c r="AE248" t="str">
        <x:v>PERCENTUAL</x:v>
      </x:c>
      <x:c r="AF248"/>
      <x:c r="AG248" t="str">
        <x:v>2.6.46</x:v>
      </x:c>
      <x:c r="AH248" t="str">
        <x:v>Frete base × percentual; aplicar frete mínimo quando maior. Bloco percentual ativado; controle visual passivo. Obs.: frete gatilho por kg citado na fonte não automatizado nesta etapa.</x:v>
      </x:c>
      <x:c r="AI248"/>
    </x:row>
    <x:row r="249">
      <x:c r="A249" t="str">
        <x:v>MILAYDE_LOBATO_0009</x:v>
      </x:c>
      <x:c r="B249" t="str">
        <x:v>MILAYDE_LOBATO</x:v>
      </x:c>
      <x:c r="C249"/>
      <x:c r="D249"/>
      <x:c r="E249" t="str">
        <x:v>Ananindeua</x:v>
      </x:c>
      <x:c r="F249" t="str">
        <x:v>PA</x:v>
      </x:c>
      <x:c r="G249" t="str">
        <x:v>Juruti</x:v>
      </x:c>
      <x:c r="H249" t="str">
        <x:v>PA</x:v>
      </x:c>
      <x:c r="I249" t="str">
        <x:v>ORIGEM ANANINDEUA</x:v>
      </x:c>
      <x:c r="J249"/>
      <x:c r="K249" t="str">
        <x:v>40%</x:v>
      </x:c>
      <x:c r="L249" t="n">
        <x:v>138</x:v>
      </x:c>
      <x:c r="M249"/>
      <x:c r="N249"/>
      <x:c r="O249"/>
      <x:c r="P249" t="str">
        <x:v>8 a 10 dias / revisar</x:v>
      </x:c>
      <x:c r="Q249" t="str">
        <x:v>3ª e 6ª Feira / revisar</x:v>
      </x:c>
      <x:c r="R249" t="str">
        <x:v>ORIGINAL</x:v>
      </x:c>
      <x:c r="S249" t="str">
        <x:v>NÃO</x:v>
      </x:c>
      <x:c r="T249" t="str">
        <x:v>REVISAR_OK</x:v>
      </x:c>
      <x:c r="U249" t="str">
        <x:v>TABELA MILAYDE PATRICIA.pdf</x:v>
      </x:c>
      <x:c r="V249" t="str">
        <x:v>1</x:v>
      </x:c>
      <x:c r="W249" t="str">
        <x:v>MILAYDE = FÊNIX confirmado pelo usuário. Regra Fênix aplicada ao CNPJ Milayde.</x:v>
      </x:c>
      <x:c r="X249"/>
      <x:c r="Y249"/>
      <x:c r="Z249"/>
      <x:c r="AA249"/>
      <x:c r="AB249"/>
      <x:c r="AC249" t="str">
        <x:v>SIM</x:v>
      </x:c>
      <x:c r="AD249" t="str">
        <x:v>MILAYDE</x:v>
      </x:c>
      <x:c r="AE249" t="str">
        <x:v>PERCENTUAL</x:v>
      </x:c>
      <x:c r="AF249"/>
      <x:c r="AG249" t="str">
        <x:v>2.6.46</x:v>
      </x:c>
      <x:c r="AH249" t="str">
        <x:v>Frete base × percentual; aplicar frete mínimo quando maior. Bloco percentual ativado; controle visual passivo. Obs.: frete gatilho por kg citado na fonte não automatizado nesta etapa.</x:v>
      </x:c>
      <x:c r="AI249"/>
    </x:row>
    <x:row r="250">
      <x:c r="A250" t="str">
        <x:v>MILAYDE_LOBATO_0010</x:v>
      </x:c>
      <x:c r="B250" t="str">
        <x:v>MILAYDE_LOBATO</x:v>
      </x:c>
      <x:c r="C250"/>
      <x:c r="D250"/>
      <x:c r="E250" t="str">
        <x:v>Ananindeua</x:v>
      </x:c>
      <x:c r="F250" t="str">
        <x:v>PA</x:v>
      </x:c>
      <x:c r="G250" t="str">
        <x:v>Terra Santa</x:v>
      </x:c>
      <x:c r="H250" t="str">
        <x:v>PA</x:v>
      </x:c>
      <x:c r="I250" t="str">
        <x:v>ORIGEM ANANINDEUA</x:v>
      </x:c>
      <x:c r="J250"/>
      <x:c r="K250" t="str">
        <x:v>40%</x:v>
      </x:c>
      <x:c r="L250" t="n">
        <x:v>138</x:v>
      </x:c>
      <x:c r="M250"/>
      <x:c r="N250"/>
      <x:c r="O250"/>
      <x:c r="P250" t="str">
        <x:v>8 a 10 dias / revisar</x:v>
      </x:c>
      <x:c r="Q250" t="str">
        <x:v>3ª e 6ª Feira / revisar</x:v>
      </x:c>
      <x:c r="R250" t="str">
        <x:v>ORIGINAL</x:v>
      </x:c>
      <x:c r="S250" t="str">
        <x:v>NÃO</x:v>
      </x:c>
      <x:c r="T250" t="str">
        <x:v>REVISAR_OK</x:v>
      </x:c>
      <x:c r="U250" t="str">
        <x:v>TABELA MILAYDE PATRICIA.pdf</x:v>
      </x:c>
      <x:c r="V250" t="str">
        <x:v>1</x:v>
      </x:c>
      <x:c r="W250" t="str">
        <x:v>MILAYDE = FÊNIX confirmado pelo usuário. Regra Fênix aplicada ao CNPJ Milayde.</x:v>
      </x:c>
      <x:c r="X250"/>
      <x:c r="Y250"/>
      <x:c r="Z250"/>
      <x:c r="AA250"/>
      <x:c r="AB250"/>
      <x:c r="AC250" t="str">
        <x:v>SIM</x:v>
      </x:c>
      <x:c r="AD250" t="str">
        <x:v>MILAYDE</x:v>
      </x:c>
      <x:c r="AE250" t="str">
        <x:v>PERCENTUAL</x:v>
      </x:c>
      <x:c r="AF250"/>
      <x:c r="AG250" t="str">
        <x:v>2.6.46</x:v>
      </x:c>
      <x:c r="AH250" t="str">
        <x:v>Frete base × percentual; aplicar frete mínimo quando maior. Bloco percentual ativado; controle visual passivo. Obs.: frete gatilho por kg citado na fonte não automatizado nesta etapa.</x:v>
      </x:c>
      <x:c r="AI250"/>
    </x:row>
    <x:row r="251">
      <x:c r="A251" t="str">
        <x:v>MILAYDE_LOBATO_0011</x:v>
      </x:c>
      <x:c r="B251" t="str">
        <x:v>MILAYDE_LOBATO</x:v>
      </x:c>
      <x:c r="C251"/>
      <x:c r="D251"/>
      <x:c r="E251" t="str">
        <x:v>Ananindeua</x:v>
      </x:c>
      <x:c r="F251" t="str">
        <x:v>PA</x:v>
      </x:c>
      <x:c r="G251" t="str">
        <x:v>Faro</x:v>
      </x:c>
      <x:c r="H251" t="str">
        <x:v>PA</x:v>
      </x:c>
      <x:c r="I251" t="str">
        <x:v>ORIGEM ANANINDEUA</x:v>
      </x:c>
      <x:c r="J251"/>
      <x:c r="K251" t="str">
        <x:v>40%</x:v>
      </x:c>
      <x:c r="L251" t="n">
        <x:v>138</x:v>
      </x:c>
      <x:c r="M251"/>
      <x:c r="N251"/>
      <x:c r="O251"/>
      <x:c r="P251" t="str">
        <x:v>8 a 10 dias / revisar</x:v>
      </x:c>
      <x:c r="Q251" t="str">
        <x:v>3ª e 6ª Feira / revisar</x:v>
      </x:c>
      <x:c r="R251" t="str">
        <x:v>ORIGINAL</x:v>
      </x:c>
      <x:c r="S251" t="str">
        <x:v>NÃO</x:v>
      </x:c>
      <x:c r="T251" t="str">
        <x:v>REVISAR_OK</x:v>
      </x:c>
      <x:c r="U251" t="str">
        <x:v>TABELA MILAYDE PATRICIA.pdf</x:v>
      </x:c>
      <x:c r="V251" t="str">
        <x:v>1</x:v>
      </x:c>
      <x:c r="W251" t="str">
        <x:v>MILAYDE = FÊNIX confirmado pelo usuário. Regra Fênix aplicada ao CNPJ Milayde.</x:v>
      </x:c>
      <x:c r="X251"/>
      <x:c r="Y251"/>
      <x:c r="Z251"/>
      <x:c r="AA251"/>
      <x:c r="AB251"/>
      <x:c r="AC251" t="str">
        <x:v>SIM</x:v>
      </x:c>
      <x:c r="AD251" t="str">
        <x:v>MILAYDE</x:v>
      </x:c>
      <x:c r="AE251" t="str">
        <x:v>PERCENTUAL</x:v>
      </x:c>
      <x:c r="AF251"/>
      <x:c r="AG251" t="str">
        <x:v>2.6.46</x:v>
      </x:c>
      <x:c r="AH251" t="str">
        <x:v>Frete base × percentual; aplicar frete mínimo quando maior. Bloco percentual ativado; controle visual passivo. Obs.: frete gatilho por kg citado na fonte não automatizado nesta etapa.</x:v>
      </x:c>
      <x:c r="AI251"/>
    </x:row>
    <x:row r="252">
      <x:c r="A252" t="str">
        <x:v>MILAYDE_LOBATO_0012</x:v>
      </x:c>
      <x:c r="B252" t="str">
        <x:v>MILAYDE_LOBATO</x:v>
      </x:c>
      <x:c r="C252"/>
      <x:c r="D252"/>
      <x:c r="E252" t="str">
        <x:v>Ananindeua</x:v>
      </x:c>
      <x:c r="F252" t="str">
        <x:v>PA</x:v>
      </x:c>
      <x:c r="G252" t="str">
        <x:v>Placas</x:v>
      </x:c>
      <x:c r="H252" t="str">
        <x:v>PA</x:v>
      </x:c>
      <x:c r="I252" t="str">
        <x:v>ORIGEM ANANINDEUA</x:v>
      </x:c>
      <x:c r="J252"/>
      <x:c r="K252" t="str">
        <x:v>40%</x:v>
      </x:c>
      <x:c r="L252" t="n">
        <x:v>138</x:v>
      </x:c>
      <x:c r="M252"/>
      <x:c r="N252"/>
      <x:c r="O252"/>
      <x:c r="P252" t="str">
        <x:v>8 a 10 dias / revisar</x:v>
      </x:c>
      <x:c r="Q252" t="str">
        <x:v>3ª e 6ª Feira / revisar</x:v>
      </x:c>
      <x:c r="R252" t="str">
        <x:v>ORIGINAL</x:v>
      </x:c>
      <x:c r="S252" t="str">
        <x:v>NÃO</x:v>
      </x:c>
      <x:c r="T252" t="str">
        <x:v>REVISAR_OK</x:v>
      </x:c>
      <x:c r="U252" t="str">
        <x:v>TABELA MILAYDE PATRICIA.pdf</x:v>
      </x:c>
      <x:c r="V252" t="str">
        <x:v>1</x:v>
      </x:c>
      <x:c r="W252" t="str">
        <x:v>MILAYDE = FÊNIX confirmado pelo usuário. Regra Fênix aplicada ao CNPJ Milayde.</x:v>
      </x:c>
      <x:c r="X252"/>
      <x:c r="Y252"/>
      <x:c r="Z252"/>
      <x:c r="AA252"/>
      <x:c r="AB252"/>
      <x:c r="AC252" t="str">
        <x:v>SIM</x:v>
      </x:c>
      <x:c r="AD252" t="str">
        <x:v>MILAYDE</x:v>
      </x:c>
      <x:c r="AE252" t="str">
        <x:v>PERCENTUAL</x:v>
      </x:c>
      <x:c r="AF252"/>
      <x:c r="AG252" t="str">
        <x:v>2.6.46</x:v>
      </x:c>
      <x:c r="AH252" t="str">
        <x:v>Frete base × percentual; aplicar frete mínimo quando maior. Bloco percentual ativado; controle visual passivo. Obs.: frete gatilho por kg citado na fonte não automatizado nesta etapa.</x:v>
      </x:c>
      <x:c r="AI252"/>
    </x:row>
    <x:row r="253">
      <x:c r="A253" t="str">
        <x:v>MILAYDE_LOBATO_0013</x:v>
      </x:c>
      <x:c r="B253" t="str">
        <x:v>MILAYDE_LOBATO</x:v>
      </x:c>
      <x:c r="C253"/>
      <x:c r="D253"/>
      <x:c r="E253" t="str">
        <x:v>Ananindeua</x:v>
      </x:c>
      <x:c r="F253" t="str">
        <x:v>PA</x:v>
      </x:c>
      <x:c r="G253" t="str">
        <x:v>Aveiro</x:v>
      </x:c>
      <x:c r="H253" t="str">
        <x:v>PA</x:v>
      </x:c>
      <x:c r="I253" t="str">
        <x:v>ORIGEM ANANINDEUA</x:v>
      </x:c>
      <x:c r="J253"/>
      <x:c r="K253" t="str">
        <x:v>40%</x:v>
      </x:c>
      <x:c r="L253" t="n">
        <x:v>138</x:v>
      </x:c>
      <x:c r="M253"/>
      <x:c r="N253"/>
      <x:c r="O253"/>
      <x:c r="P253" t="str">
        <x:v>8 a 10 dias / revisar</x:v>
      </x:c>
      <x:c r="Q253" t="str">
        <x:v>3ª e 6ª Feira / revisar</x:v>
      </x:c>
      <x:c r="R253" t="str">
        <x:v>ORIGINAL</x:v>
      </x:c>
      <x:c r="S253" t="str">
        <x:v>NÃO</x:v>
      </x:c>
      <x:c r="T253" t="str">
        <x:v>REVISAR_OK</x:v>
      </x:c>
      <x:c r="U253" t="str">
        <x:v>TABELA MILAYDE PATRICIA.pdf</x:v>
      </x:c>
      <x:c r="V253" t="str">
        <x:v>1</x:v>
      </x:c>
      <x:c r="W253" t="str">
        <x:v>MILAYDE = FÊNIX confirmado pelo usuário. Regra Fênix aplicada ao CNPJ Milayde.</x:v>
      </x:c>
      <x:c r="X253"/>
      <x:c r="Y253"/>
      <x:c r="Z253"/>
      <x:c r="AA253"/>
      <x:c r="AB253"/>
      <x:c r="AC253" t="str">
        <x:v>SIM</x:v>
      </x:c>
      <x:c r="AD253" t="str">
        <x:v>MILAYDE</x:v>
      </x:c>
      <x:c r="AE253" t="str">
        <x:v>PERCENTUAL</x:v>
      </x:c>
      <x:c r="AF253"/>
      <x:c r="AG253" t="str">
        <x:v>2.6.46</x:v>
      </x:c>
      <x:c r="AH253" t="str">
        <x:v>Frete base × percentual; aplicar frete mínimo quando maior. Bloco percentual ativado; controle visual passivo. Obs.: frete gatilho por kg citado na fonte não automatizado nesta etapa.</x:v>
      </x:c>
      <x:c r="AI253"/>
    </x:row>
    <x:row r="254">
      <x:c r="A254" t="str">
        <x:v>MILAYDE_LOBATO_0014</x:v>
      </x:c>
      <x:c r="B254" t="str">
        <x:v>MILAYDE_LOBATO</x:v>
      </x:c>
      <x:c r="C254"/>
      <x:c r="D254"/>
      <x:c r="E254" t="str">
        <x:v>Ananindeua</x:v>
      </x:c>
      <x:c r="F254" t="str">
        <x:v>PA</x:v>
      </x:c>
      <x:c r="G254" t="str">
        <x:v>Belterra</x:v>
      </x:c>
      <x:c r="H254" t="str">
        <x:v>PA</x:v>
      </x:c>
      <x:c r="I254" t="str">
        <x:v>ORIGEM ANANINDEUA</x:v>
      </x:c>
      <x:c r="J254"/>
      <x:c r="K254" t="str">
        <x:v>40%</x:v>
      </x:c>
      <x:c r="L254" t="n">
        <x:v>138</x:v>
      </x:c>
      <x:c r="M254"/>
      <x:c r="N254"/>
      <x:c r="O254"/>
      <x:c r="P254" t="str">
        <x:v>8 a 10 dias / revisar</x:v>
      </x:c>
      <x:c r="Q254" t="str">
        <x:v>3ª e 6ª Feira / revisar</x:v>
      </x:c>
      <x:c r="R254" t="str">
        <x:v>ORIGINAL</x:v>
      </x:c>
      <x:c r="S254" t="str">
        <x:v>NÃO</x:v>
      </x:c>
      <x:c r="T254" t="str">
        <x:v>REVISAR_OK</x:v>
      </x:c>
      <x:c r="U254" t="str">
        <x:v>TABELA MILAYDE PATRICIA.pdf</x:v>
      </x:c>
      <x:c r="V254" t="str">
        <x:v>1</x:v>
      </x:c>
      <x:c r="W254" t="str">
        <x:v>MILAYDE = FÊNIX confirmado pelo usuário. Regra Fênix aplicada ao CNPJ Milayde.</x:v>
      </x:c>
      <x:c r="X254"/>
      <x:c r="Y254"/>
      <x:c r="Z254"/>
      <x:c r="AA254"/>
      <x:c r="AB254"/>
      <x:c r="AC254" t="str">
        <x:v>SIM</x:v>
      </x:c>
      <x:c r="AD254" t="str">
        <x:v>MILAYDE</x:v>
      </x:c>
      <x:c r="AE254" t="str">
        <x:v>PERCENTUAL</x:v>
      </x:c>
      <x:c r="AF254"/>
      <x:c r="AG254" t="str">
        <x:v>2.6.46</x:v>
      </x:c>
      <x:c r="AH254" t="str">
        <x:v>Frete base × percentual; aplicar frete mínimo quando maior. Bloco percentual ativado; controle visual passivo. Obs.: frete gatilho por kg citado na fonte não automatizado nesta etapa.</x:v>
      </x:c>
      <x:c r="AI254"/>
    </x:row>
    <x:row r="255">
      <x:c r="A255" t="str">
        <x:v>MILAYDE_LOBATO_0015</x:v>
      </x:c>
      <x:c r="B255" t="str">
        <x:v>MILAYDE_LOBATO</x:v>
      </x:c>
      <x:c r="C255"/>
      <x:c r="D255"/>
      <x:c r="E255" t="str">
        <x:v>Ananindeua</x:v>
      </x:c>
      <x:c r="F255" t="str">
        <x:v>PA</x:v>
      </x:c>
      <x:c r="G255" t="str">
        <x:v>Rurópolis</x:v>
      </x:c>
      <x:c r="H255" t="str">
        <x:v>PA</x:v>
      </x:c>
      <x:c r="I255" t="str">
        <x:v>ORIGEM ANANINDEUA</x:v>
      </x:c>
      <x:c r="J255"/>
      <x:c r="K255" t="str">
        <x:v>40%</x:v>
      </x:c>
      <x:c r="L255" t="n">
        <x:v>138</x:v>
      </x:c>
      <x:c r="M255"/>
      <x:c r="N255"/>
      <x:c r="O255"/>
      <x:c r="P255" t="str">
        <x:v>8 a 10 dias / revisar</x:v>
      </x:c>
      <x:c r="Q255" t="str">
        <x:v>3ª e 6ª Feira / revisar</x:v>
      </x:c>
      <x:c r="R255" t="str">
        <x:v>ORIGINAL</x:v>
      </x:c>
      <x:c r="S255" t="str">
        <x:v>NÃO</x:v>
      </x:c>
      <x:c r="T255" t="str">
        <x:v>REVISAR_OK</x:v>
      </x:c>
      <x:c r="U255" t="str">
        <x:v>TABELA MILAYDE PATRICIA.pdf</x:v>
      </x:c>
      <x:c r="V255" t="str">
        <x:v>1</x:v>
      </x:c>
      <x:c r="W255" t="str">
        <x:v>MILAYDE = FÊNIX confirmado pelo usuário. Regra Fênix aplicada ao CNPJ Milayde.</x:v>
      </x:c>
      <x:c r="X255"/>
      <x:c r="Y255"/>
      <x:c r="Z255"/>
      <x:c r="AA255"/>
      <x:c r="AB255"/>
      <x:c r="AC255" t="str">
        <x:v>SIM</x:v>
      </x:c>
      <x:c r="AD255" t="str">
        <x:v>MILAYDE</x:v>
      </x:c>
      <x:c r="AE255" t="str">
        <x:v>PERCENTUAL</x:v>
      </x:c>
      <x:c r="AF255"/>
      <x:c r="AG255" t="str">
        <x:v>2.6.46</x:v>
      </x:c>
      <x:c r="AH255" t="str">
        <x:v>Frete base × percentual; aplicar frete mínimo quando maior. Bloco percentual ativado; controle visual passivo. Obs.: frete gatilho por kg citado na fonte não automatizado nesta etapa.</x:v>
      </x:c>
      <x:c r="AI255"/>
    </x:row>
    <x:row r="256">
      <x:c r="A256" t="str">
        <x:v>MB_SERVICOS_LOG_0001</x:v>
      </x:c>
      <x:c r="B256" t="str">
        <x:v>MB_SERVICOS_LOG</x:v>
      </x:c>
      <x:c r="C256"/>
      <x:c r="D256"/>
      <x:c r="E256" t="str">
        <x:v>Macapá</x:v>
      </x:c>
      <x:c r="F256" t="str">
        <x:v>AP</x:v>
      </x:c>
      <x:c r="G256" t="str">
        <x:v>MACAPA</x:v>
      </x:c>
      <x:c r="H256" t="str">
        <x:v>AP</x:v>
      </x:c>
      <x:c r="I256" t="str">
        <x:v>MB AP CAPITAL / STN-MCP</x:v>
      </x:c>
      <x:c r="J256" t="str">
        <x:v>Tabela percentual AP</x:v>
      </x:c>
      <x:c r="K256" t="str">
        <x:v>23%</x:v>
      </x:c>
      <x:c r="L256" t="n">
        <x:v>70</x:v>
      </x:c>
      <x:c r="M256"/>
      <x:c r="N256"/>
      <x:c r="O256"/>
      <x:c r="P256"/>
      <x:c r="Q256"/>
      <x:c r="R256" t="str">
        <x:v>ORIGINAL</x:v>
      </x:c>
      <x:c r="S256" t="str">
        <x:v>NÃO</x:v>
      </x:c>
      <x:c r="T256" t="str">
        <x:v>REVISAR_OK</x:v>
      </x:c>
      <x:c r="U256" t="str">
        <x:v>Tabela MB LOGISTICA.pdf</x:v>
      </x:c>
      <x:c r="V256" t="str">
        <x:v>1</x:v>
      </x:c>
      <x:c r="W256" t="str">
        <x:v>Regra percentual simples. Regras fixas por faixa de tonelagem permanecem desativadas para revisão posterior.</x:v>
      </x:c>
      <x:c r="X256"/>
      <x:c r="Y256"/>
      <x:c r="Z256"/>
      <x:c r="AA256"/>
      <x:c r="AB256"/>
      <x:c r="AC256" t="str">
        <x:v>SIM</x:v>
      </x:c>
      <x:c r="AD256" t="str">
        <x:v>M. B. SERVIÇOS</x:v>
      </x:c>
      <x:c r="AE256" t="str">
        <x:v>PERCENTUAL</x:v>
      </x:c>
      <x:c r="AF256"/>
      <x:c r="AG256" t="str">
        <x:v>2.6.46</x:v>
      </x:c>
      <x:c r="AH256" t="str">
        <x:v>Frete base × percentual; aplicar frete mínimo quando maior. Bloco percentual ativado; controle visual passivo.</x:v>
      </x:c>
      <x:c r="AI256"/>
    </x:row>
    <x:row r="257">
      <x:c r="A257" t="str">
        <x:v>MB_SERVICOS_LOG_0002</x:v>
      </x:c>
      <x:c r="B257" t="str">
        <x:v>MB_SERVICOS_LOG</x:v>
      </x:c>
      <x:c r="C257"/>
      <x:c r="D257"/>
      <x:c r="E257" t="str">
        <x:v>Macapá</x:v>
      </x:c>
      <x:c r="F257" t="str">
        <x:v>AP</x:v>
      </x:c>
      <x:c r="G257" t="str">
        <x:v>SANTANA</x:v>
      </x:c>
      <x:c r="H257" t="str">
        <x:v>AP</x:v>
      </x:c>
      <x:c r="I257" t="str">
        <x:v>MB AP CAPITAL / STN-MCP</x:v>
      </x:c>
      <x:c r="J257" t="str">
        <x:v>Tabela percentual AP</x:v>
      </x:c>
      <x:c r="K257" t="str">
        <x:v>23%</x:v>
      </x:c>
      <x:c r="L257" t="n">
        <x:v>70</x:v>
      </x:c>
      <x:c r="M257"/>
      <x:c r="N257"/>
      <x:c r="O257"/>
      <x:c r="P257"/>
      <x:c r="Q257"/>
      <x:c r="R257" t="str">
        <x:v>ORIGINAL</x:v>
      </x:c>
      <x:c r="S257" t="str">
        <x:v>NÃO</x:v>
      </x:c>
      <x:c r="T257" t="str">
        <x:v>REVISAR_OK</x:v>
      </x:c>
      <x:c r="U257" t="str">
        <x:v>Tabela MB LOGISTICA.pdf</x:v>
      </x:c>
      <x:c r="V257" t="str">
        <x:v>1</x:v>
      </x:c>
      <x:c r="W257" t="str">
        <x:v>Regra percentual simples. Regras fixas por faixa de tonelagem permanecem desativadas para revisão posterior.</x:v>
      </x:c>
      <x:c r="X257"/>
      <x:c r="Y257"/>
      <x:c r="Z257"/>
      <x:c r="AA257"/>
      <x:c r="AB257"/>
      <x:c r="AC257" t="str">
        <x:v>SIM</x:v>
      </x:c>
      <x:c r="AD257" t="str">
        <x:v>M. B. SERVIÇOS</x:v>
      </x:c>
      <x:c r="AE257" t="str">
        <x:v>PERCENTUAL</x:v>
      </x:c>
      <x:c r="AF257"/>
      <x:c r="AG257" t="str">
        <x:v>2.6.46</x:v>
      </x:c>
      <x:c r="AH257" t="str">
        <x:v>Frete base × percentual; aplicar frete mínimo quando maior. Bloco percentual ativado; controle visual passivo.</x:v>
      </x:c>
      <x:c r="AI257"/>
    </x:row>
    <x:row r="258">
      <x:c r="A258" t="str">
        <x:v>MB_SERVICOS_LOG_0003</x:v>
      </x:c>
      <x:c r="B258" t="str">
        <x:v>MB_SERVICOS_LOG</x:v>
      </x:c>
      <x:c r="C258"/>
      <x:c r="D258"/>
      <x:c r="E258" t="str">
        <x:v>Macapá</x:v>
      </x:c>
      <x:c r="F258" t="str">
        <x:v>AP</x:v>
      </x:c>
      <x:c r="G258" t="str">
        <x:v>OIAPOQUE</x:v>
      </x:c>
      <x:c r="H258" t="str">
        <x:v>AP</x:v>
      </x:c>
      <x:c r="I258" t="str">
        <x:v>MB INTERIORES-AP</x:v>
      </x:c>
      <x:c r="J258" t="str">
        <x:v>Tabela percentual AP</x:v>
      </x:c>
      <x:c r="K258" t="str">
        <x:v>27%</x:v>
      </x:c>
      <x:c r="L258" t="n">
        <x:v>250</x:v>
      </x:c>
      <x:c r="M258"/>
      <x:c r="N258"/>
      <x:c r="O258"/>
      <x:c r="P258"/>
      <x:c r="Q258"/>
      <x:c r="R258" t="str">
        <x:v>ORIGINAL</x:v>
      </x:c>
      <x:c r="S258" t="str">
        <x:v>NÃO</x:v>
      </x:c>
      <x:c r="T258" t="str">
        <x:v>REVISAR_OK</x:v>
      </x:c>
      <x:c r="U258" t="str">
        <x:v>Tabela MB LOGISTICA.pdf</x:v>
      </x:c>
      <x:c r="V258" t="str">
        <x:v>1</x:v>
      </x:c>
      <x:c r="W258" t="str">
        <x:v>Regra percentual simples. Regras fixas por faixa de tonelagem permanecem desativadas para revisão posterior.</x:v>
      </x:c>
      <x:c r="X258"/>
      <x:c r="Y258"/>
      <x:c r="Z258"/>
      <x:c r="AA258"/>
      <x:c r="AB258"/>
      <x:c r="AC258" t="str">
        <x:v>SIM</x:v>
      </x:c>
      <x:c r="AD258" t="str">
        <x:v>M. B. SERVIÇOS</x:v>
      </x:c>
      <x:c r="AE258" t="str">
        <x:v>PERCENTUAL</x:v>
      </x:c>
      <x:c r="AF258"/>
      <x:c r="AG258" t="str">
        <x:v>2.6.46</x:v>
      </x:c>
      <x:c r="AH258" t="str">
        <x:v>Frete base × percentual; aplicar frete mínimo quando maior. Bloco percentual ativado; controle visual passivo.</x:v>
      </x:c>
      <x:c r="AI258"/>
    </x:row>
    <x:row r="259">
      <x:c r="A259" t="str">
        <x:v>MB_SERVICOS_LOG_0004</x:v>
      </x:c>
      <x:c r="B259" t="str">
        <x:v>MB_SERVICOS_LOG</x:v>
      </x:c>
      <x:c r="C259"/>
      <x:c r="D259"/>
      <x:c r="E259" t="str">
        <x:v>Macapá</x:v>
      </x:c>
      <x:c r="F259" t="str">
        <x:v>AP</x:v>
      </x:c>
      <x:c r="G259" t="str">
        <x:v>LARANJAL DO JARI</x:v>
      </x:c>
      <x:c r="H259" t="str">
        <x:v>AP</x:v>
      </x:c>
      <x:c r="I259" t="str">
        <x:v>MB INTERIORES-AP</x:v>
      </x:c>
      <x:c r="J259" t="str">
        <x:v>Tabela percentual AP</x:v>
      </x:c>
      <x:c r="K259" t="str">
        <x:v>27%</x:v>
      </x:c>
      <x:c r="L259" t="n">
        <x:v>250</x:v>
      </x:c>
      <x:c r="M259"/>
      <x:c r="N259"/>
      <x:c r="O259"/>
      <x:c r="P259"/>
      <x:c r="Q259"/>
      <x:c r="R259" t="str">
        <x:v>ORIGINAL</x:v>
      </x:c>
      <x:c r="S259" t="str">
        <x:v>NÃO</x:v>
      </x:c>
      <x:c r="T259" t="str">
        <x:v>REVISAR_OK</x:v>
      </x:c>
      <x:c r="U259" t="str">
        <x:v>Tabela MB LOGISTICA.pdf</x:v>
      </x:c>
      <x:c r="V259" t="str">
        <x:v>1</x:v>
      </x:c>
      <x:c r="W259" t="str">
        <x:v>Regra percentual simples. Regras fixas por faixa de tonelagem permanecem desativadas para revisão posterior.</x:v>
      </x:c>
      <x:c r="X259"/>
      <x:c r="Y259"/>
      <x:c r="Z259"/>
      <x:c r="AA259"/>
      <x:c r="AB259"/>
      <x:c r="AC259" t="str">
        <x:v>SIM</x:v>
      </x:c>
      <x:c r="AD259" t="str">
        <x:v>M. B. SERVIÇOS</x:v>
      </x:c>
      <x:c r="AE259" t="str">
        <x:v>PERCENTUAL</x:v>
      </x:c>
      <x:c r="AF259"/>
      <x:c r="AG259" t="str">
        <x:v>2.6.46</x:v>
      </x:c>
      <x:c r="AH259" t="str">
        <x:v>Frete base × percentual; aplicar frete mínimo quando maior. Bloco percentual ativado; controle visual passivo.</x:v>
      </x:c>
      <x:c r="AI259"/>
    </x:row>
    <x:row r="260">
      <x:c r="A260" t="str">
        <x:v>OPAL_0191</x:v>
      </x:c>
      <x:c r="B260" t="str">
        <x:v>OPAL</x:v>
      </x:c>
      <x:c r="C260" t="str">
        <x:v>10/06/2026</x:v>
      </x:c>
      <x:c r="D260"/>
      <x:c r="E260" t="str">
        <x:v>Ananindeua</x:v>
      </x:c>
      <x:c r="F260" t="str">
        <x:v>PA</x:v>
      </x:c>
      <x:c r="G260" t="str">
        <x:v>MACAPA</x:v>
      </x:c>
      <x:c r="H260" t="str">
        <x:v>AP</x:v>
      </x:c>
      <x:c r="I260" t="str">
        <x:v>AP1</x:v>
      </x:c>
      <x:c r="J260" t="str">
        <x:v>Comissão sobre frete bruto</x:v>
      </x:c>
      <x:c r="K260" t="str">
        <x:v>28%</x:v>
      </x:c>
      <x:c r="L260" t="n">
        <x:v>90</x:v>
      </x:c>
      <x:c r="M260"/>
      <x:c r="N260"/>
      <x:c r="O260"/>
      <x:c r="P260"/>
      <x:c r="Q260" t="str">
        <x:v>Distribuição</x:v>
      </x:c>
      <x:c r="R260" t="str">
        <x:v>ORIGINAL</x:v>
      </x:c>
      <x:c r="S260" t="str">
        <x:v>NÃO</x:v>
      </x:c>
      <x:c r="T260" t="str">
        <x:v>REVISAR_OK</x:v>
      </x:c>
      <x:c r="U260" t="str">
        <x:v>TABELA_DISTRIB_AP_RODOVITOR_2026_A4.xlsx</x:v>
      </x:c>
      <x:c r="V260" t="str">
        <x:v>1</x:v>
      </x:c>
      <x:c r="W260" t="str">
        <x:v>Macapá: 28% sobre o frete bruto, respeitando mínima de R$ 90,00.</x:v>
      </x:c>
      <x:c r="X260" t="str">
        <x:v>NÃO</x:v>
      </x:c>
      <x:c r="Y260"/>
      <x:c r="Z260" t="str">
        <x:v>NÃO</x:v>
      </x:c>
      <x:c r="AA260"/>
      <x:c r="AB260"/>
      <x:c r="AC260" t="str">
        <x:v>SIM</x:v>
      </x:c>
      <x:c r="AD260" t="str">
        <x:v>OPAL</x:v>
      </x:c>
      <x:c r="AE260" t="str">
        <x:v>PERCENTUAL</x:v>
      </x:c>
      <x:c r="AF260"/>
      <x:c r="AG260" t="str">
        <x:v>2.6.44</x:v>
      </x:c>
      <x:c r="AH260" t="str">
        <x:v>Frete base × percentual; aplicar o frete mínimo quando maior.</x:v>
      </x:c>
      <x:c r="AI260"/>
    </x:row>
    <x:row r="261">
      <x:c r="A261" t="str">
        <x:v>OPAL_0192</x:v>
      </x:c>
      <x:c r="B261" t="str">
        <x:v>OPAL</x:v>
      </x:c>
      <x:c r="C261" t="str">
        <x:v>10/06/2026</x:v>
      </x:c>
      <x:c r="D261"/>
      <x:c r="E261" t="str">
        <x:v>Ananindeua</x:v>
      </x:c>
      <x:c r="F261" t="str">
        <x:v>PA</x:v>
      </x:c>
      <x:c r="G261" t="str">
        <x:v>SANTANA</x:v>
      </x:c>
      <x:c r="H261" t="str">
        <x:v>AP</x:v>
      </x:c>
      <x:c r="I261" t="str">
        <x:v>AP1</x:v>
      </x:c>
      <x:c r="J261" t="str">
        <x:v>Comissão sobre frete bruto</x:v>
      </x:c>
      <x:c r="K261" t="str">
        <x:v>28%</x:v>
      </x:c>
      <x:c r="L261" t="n">
        <x:v>90</x:v>
      </x:c>
      <x:c r="M261"/>
      <x:c r="N261"/>
      <x:c r="O261"/>
      <x:c r="P261"/>
      <x:c r="Q261" t="str">
        <x:v>Distribuição</x:v>
      </x:c>
      <x:c r="R261" t="str">
        <x:v>ORIGINAL</x:v>
      </x:c>
      <x:c r="S261" t="str">
        <x:v>NÃO</x:v>
      </x:c>
      <x:c r="T261" t="str">
        <x:v>REVISAR_OK</x:v>
      </x:c>
      <x:c r="U261" t="str">
        <x:v>TABELA_DISTRIB_AP_RODOVITOR_2026_A4.xlsx</x:v>
      </x:c>
      <x:c r="V261" t="str">
        <x:v>1</x:v>
      </x:c>
      <x:c r="W261" t="str">
        <x:v>Santana: 28% sobre o frete bruto, respeitando mínima de R$ 90,00.</x:v>
      </x:c>
      <x:c r="X261" t="str">
        <x:v>NÃO</x:v>
      </x:c>
      <x:c r="Y261"/>
      <x:c r="Z261" t="str">
        <x:v>NÃO</x:v>
      </x:c>
      <x:c r="AA261"/>
      <x:c r="AB261"/>
      <x:c r="AC261" t="str">
        <x:v>SIM</x:v>
      </x:c>
      <x:c r="AD261" t="str">
        <x:v>OPAL</x:v>
      </x:c>
      <x:c r="AE261" t="str">
        <x:v>PERCENTUAL</x:v>
      </x:c>
      <x:c r="AF261"/>
      <x:c r="AG261" t="str">
        <x:v>2.6.44</x:v>
      </x:c>
      <x:c r="AH261" t="str">
        <x:v>Frete base × percentual; aplicar o frete mínimo quando maior.</x:v>
      </x:c>
      <x:c r="AI261"/>
    </x:row>
    <x:row r="262">
      <x:c r="A262" t="str">
        <x:v>OPAL_0193</x:v>
      </x:c>
      <x:c r="B262" t="str">
        <x:v>OPAL</x:v>
      </x:c>
      <x:c r="C262" t="str">
        <x:v>10/06/2026</x:v>
      </x:c>
      <x:c r="D262"/>
      <x:c r="E262" t="str">
        <x:v>Ananindeua</x:v>
      </x:c>
      <x:c r="F262" t="str">
        <x:v>PA</x:v>
      </x:c>
      <x:c r="G262" t="str">
        <x:v>INTERIOR AP</x:v>
      </x:c>
      <x:c r="H262" t="str">
        <x:v>AP</x:v>
      </x:c>
      <x:c r="I262" t="str">
        <x:v>AP2</x:v>
      </x:c>
      <x:c r="J262" t="str">
        <x:v>Comissão sobre frete bruto</x:v>
      </x:c>
      <x:c r="K262" t="str">
        <x:v>33%</x:v>
      </x:c>
      <x:c r="L262" t="n">
        <x:v>120</x:v>
      </x:c>
      <x:c r="M262"/>
      <x:c r="N262"/>
      <x:c r="O262"/>
      <x:c r="P262"/>
      <x:c r="Q262" t="str">
        <x:v>Distribuição</x:v>
      </x:c>
      <x:c r="R262" t="str">
        <x:v>ORIGINAL</x:v>
      </x:c>
      <x:c r="S262" t="str">
        <x:v>NÃO</x:v>
      </x:c>
      <x:c r="T262" t="str">
        <x:v>REVISAR_OK</x:v>
      </x:c>
      <x:c r="U262" t="str">
        <x:v>TABELA_DISTRIB_AP_RODOVITOR_2026_A4.xlsx</x:v>
      </x:c>
      <x:c r="V262" t="str">
        <x:v>1</x:v>
      </x:c>
      <x:c r="W262" t="str">
        <x:v>Interior do AP: 33% sobre o frete bruto, respeitando mínima de R$ 120,00.</x:v>
      </x:c>
      <x:c r="X262" t="str">
        <x:v>NÃO</x:v>
      </x:c>
      <x:c r="Y262"/>
      <x:c r="Z262" t="str">
        <x:v>NÃO</x:v>
      </x:c>
      <x:c r="AA262"/>
      <x:c r="AB262"/>
      <x:c r="AC262" t="str">
        <x:v>SIM</x:v>
      </x:c>
      <x:c r="AD262" t="str">
        <x:v>OPAL</x:v>
      </x:c>
      <x:c r="AE262" t="str">
        <x:v>PERCENTUAL</x:v>
      </x:c>
      <x:c r="AF262"/>
      <x:c r="AG262" t="str">
        <x:v>2.6.44</x:v>
      </x:c>
      <x:c r="AH262" t="str">
        <x:v>Frete base × percentual; aplicar o frete mínimo quando maior.</x:v>
      </x:c>
      <x:c r="AI262"/>
    </x:row>
    <x:row r="263">
      <x:c r="A263" t="str">
        <x:v>OPAL_0194</x:v>
      </x:c>
      <x:c r="B263" t="str">
        <x:v>OPAL</x:v>
      </x:c>
      <x:c r="C263" t="str">
        <x:v>10/06/2026</x:v>
      </x:c>
      <x:c r="D263"/>
      <x:c r="E263" t="str">
        <x:v>Ananindeua</x:v>
      </x:c>
      <x:c r="F263" t="str">
        <x:v>PA</x:v>
      </x:c>
      <x:c r="G263" t="str">
        <x:v>AFUA</x:v>
      </x:c>
      <x:c r="H263" t="str">
        <x:v>PA</x:v>
      </x:c>
      <x:c r="I263" t="str">
        <x:v>AP2</x:v>
      </x:c>
      <x:c r="J263" t="str">
        <x:v>Comissão sobre percentual da NF</x:v>
      </x:c>
      <x:c r="K263" t="str">
        <x:v>7%</x:v>
      </x:c>
      <x:c r="L263" t="n">
        <x:v>120</x:v>
      </x:c>
      <x:c r="M263"/>
      <x:c r="N263"/>
      <x:c r="O263"/>
      <x:c r="P263"/>
      <x:c r="Q263" t="str">
        <x:v>Distribuição</x:v>
      </x:c>
      <x:c r="R263" t="str">
        <x:v>MERCADORIA</x:v>
      </x:c>
      <x:c r="S263" t="str">
        <x:v>NÃO</x:v>
      </x:c>
      <x:c r="T263" t="str">
        <x:v>REVISAR_OK</x:v>
      </x:c>
      <x:c r="U263" t="str">
        <x:v>TABELA_DISTRIB_AP_RODOVITOR_2026_A4.xlsx</x:v>
      </x:c>
      <x:c r="V263" t="str">
        <x:v>1</x:v>
      </x:c>
      <x:c r="W263" t="str">
        <x:v>Afuá: 7% sobre o valor da NF, respeitando mínima de R$ 120,00.</x:v>
      </x:c>
      <x:c r="X263" t="str">
        <x:v>NÃO</x:v>
      </x:c>
      <x:c r="Y263"/>
      <x:c r="Z263" t="str">
        <x:v>NÃO</x:v>
      </x:c>
      <x:c r="AA263"/>
      <x:c r="AB263"/>
      <x:c r="AC263" t="str">
        <x:v>SIM</x:v>
      </x:c>
      <x:c r="AD263" t="str">
        <x:v>OPAL</x:v>
      </x:c>
      <x:c r="AE263" t="str">
        <x:v>PERCENTUAL</x:v>
      </x:c>
      <x:c r="AF263"/>
      <x:c r="AG263" t="str">
        <x:v>2.6.44</x:v>
      </x:c>
      <x:c r="AH263" t="str">
        <x:v>Frete base × percentual; aplicar o frete mínimo quando maior.</x:v>
      </x:c>
      <x:c r="AI263"/>
    </x:row>
    <x:row r="264">
      <x:c r="A264" t="str">
        <x:v>OPAL_0195</x:v>
      </x:c>
      <x:c r="B264" t="str">
        <x:v>OPAL</x:v>
      </x:c>
      <x:c r="C264" t="str">
        <x:v>10/06/2026</x:v>
      </x:c>
      <x:c r="D264"/>
      <x:c r="E264" t="str">
        <x:v>Ananindeua</x:v>
      </x:c>
      <x:c r="F264" t="str">
        <x:v>PA</x:v>
      </x:c>
      <x:c r="G264" t="str">
        <x:v>CHAVES</x:v>
      </x:c>
      <x:c r="H264" t="str">
        <x:v>PA</x:v>
      </x:c>
      <x:c r="I264" t="str">
        <x:v>AP2</x:v>
      </x:c>
      <x:c r="J264" t="str">
        <x:v>Comissão sobre percentual da NF</x:v>
      </x:c>
      <x:c r="K264" t="str">
        <x:v>7%</x:v>
      </x:c>
      <x:c r="L264" t="n">
        <x:v>120</x:v>
      </x:c>
      <x:c r="M264"/>
      <x:c r="N264"/>
      <x:c r="O264"/>
      <x:c r="P264"/>
      <x:c r="Q264" t="str">
        <x:v>Distribuição</x:v>
      </x:c>
      <x:c r="R264" t="str">
        <x:v>MERCADORIA</x:v>
      </x:c>
      <x:c r="S264" t="str">
        <x:v>NÃO</x:v>
      </x:c>
      <x:c r="T264" t="str">
        <x:v>REVISAR_OK</x:v>
      </x:c>
      <x:c r="U264" t="str">
        <x:v>TABELA_DISTRIB_AP_RODOVITOR_2026_A4.xlsx</x:v>
      </x:c>
      <x:c r="V264" t="str">
        <x:v>1</x:v>
      </x:c>
      <x:c r="W264" t="str">
        <x:v>Chaves: 7% sobre o valor da NF, respeitando mínima de R$ 120,00.</x:v>
      </x:c>
      <x:c r="X264" t="str">
        <x:v>NÃO</x:v>
      </x:c>
      <x:c r="Y264"/>
      <x:c r="Z264" t="str">
        <x:v>NÃO</x:v>
      </x:c>
      <x:c r="AA264"/>
      <x:c r="AB264"/>
      <x:c r="AC264" t="str">
        <x:v>SIM</x:v>
      </x:c>
      <x:c r="AD264" t="str">
        <x:v>OPAL</x:v>
      </x:c>
      <x:c r="AE264" t="str">
        <x:v>PERCENTUAL</x:v>
      </x:c>
      <x:c r="AF264"/>
      <x:c r="AG264" t="str">
        <x:v>2.6.44</x:v>
      </x:c>
      <x:c r="AH264" t="str">
        <x:v>Frete base × percentual; aplicar o frete mínimo quando maior.</x:v>
      </x:c>
      <x:c r="AI264"/>
    </x:row>
    <x:row r="265">
      <x:c r="A265" t="str">
        <x:v>ACV_0001</x:v>
      </x:c>
      <x:c r="B265" t="str">
        <x:v>AC_LOG_C_VARGAS</x:v>
      </x:c>
      <x:c r="C265" t="str">
        <x:v>08/10/2025</x:v>
      </x:c>
      <x:c r="D265"/>
      <x:c r="E265"/>
      <x:c r="F265"/>
      <x:c r="G265" t="str">
        <x:v>ALMEIRIM</x:v>
      </x:c>
      <x:c r="H265" t="str">
        <x:v>PA</x:v>
      </x:c>
      <x:c r="I265" t="str">
        <x:v>LAJ/LAJI</x:v>
      </x:c>
      <x:c r="J265" t="str">
        <x:v>Distribuição AP</x:v>
      </x:c>
      <x:c r="K265" t="str">
        <x:v>23%</x:v>
      </x:c>
      <x:c r="L265" t="n">
        <x:v>33.64</x:v>
      </x:c>
      <x:c r="M265"/>
      <x:c r="N265"/>
      <x:c r="O265"/>
      <x:c r="P265" t="str">
        <x:v>3+2</x:v>
      </x:c>
      <x:c r="Q265" t="str">
        <x:v>Distribuição</x:v>
      </x:c>
      <x:c r="R265" t="str">
        <x:v>ORIGINAL</x:v>
      </x:c>
      <x:c r="S265" t="str">
        <x:v>NÃO</x:v>
      </x:c>
      <x:c r="T265" t="str">
        <x:v>REVISAR_OK</x:v>
      </x:c>
      <x:c r="U265" t="str">
        <x:v>TABELA_AC_LOG_C_VARGAS_DISTRIBUICAO_AP_2025.pdf</x:v>
      </x:c>
      <x:c r="V265" t="str">
        <x:v>1</x:v>
      </x:c>
      <x:c r="W265" t="str">
        <x:v>Unidade/praça LAJ/LAJI; mínimo por CT-e R$ 33.64; FRETE PESO: peso em kg × R$ 0,84104/kg (equivalente a R$ 841.04/ton).</x:v>
      </x:c>
      <x:c r="X265" t="str">
        <x:v>SIM</x:v>
      </x:c>
      <x:c r="Y265" t="str">
        <x:v>0,20%</x:v>
      </x:c>
      <x:c r="Z265" t="str">
        <x:v>NÃO</x:v>
      </x:c>
      <x:c r="AA265"/>
      <x:c r="AB265"/>
      <x:c r="AC265" t="str">
        <x:v>SIM</x:v>
      </x:c>
      <x:c r="AD265" t="str">
        <x:v>AC LOG / C VARGAS</x:v>
      </x:c>
      <x:c r="AE265" t="str">
        <x:v>FRETE_PESO</x:v>
      </x:c>
      <x:c r="AF265"/>
      <x:c r="AG265" t="str">
        <x:v>2.6.44</x:v>
      </x:c>
      <x:c r="AH265" t="str">
        <x:v>Cálculo confirmado: kg × R$ 0,84104/kg. O campo Tonelagem Mínima permanece em R$/ton para compatibilidade com o motor RC26.6.</x:v>
      </x:c>
      <x:c r="AI265" t="n">
        <x:v>841.04</x:v>
      </x:c>
    </x:row>
    <x:row r="266">
      <x:c r="A266" t="str">
        <x:v>ACV_0002</x:v>
      </x:c>
      <x:c r="B266" t="str">
        <x:v>AC_LOG_C_VARGAS</x:v>
      </x:c>
      <x:c r="C266" t="str">
        <x:v>08/10/2025</x:v>
      </x:c>
      <x:c r="D266"/>
      <x:c r="E266"/>
      <x:c r="F266"/>
      <x:c r="G266" t="str">
        <x:v>VITORIA DO JARI</x:v>
      </x:c>
      <x:c r="H266" t="str">
        <x:v>AP</x:v>
      </x:c>
      <x:c r="I266" t="str">
        <x:v>LAJ/LAJI</x:v>
      </x:c>
      <x:c r="J266" t="str">
        <x:v>Distribuição AP</x:v>
      </x:c>
      <x:c r="K266" t="str">
        <x:v>23%</x:v>
      </x:c>
      <x:c r="L266" t="n">
        <x:v>33.64</x:v>
      </x:c>
      <x:c r="M266"/>
      <x:c r="N266"/>
      <x:c r="O266"/>
      <x:c r="P266" t="str">
        <x:v>3+3</x:v>
      </x:c>
      <x:c r="Q266" t="str">
        <x:v>Distribuição</x:v>
      </x:c>
      <x:c r="R266" t="str">
        <x:v>ORIGINAL</x:v>
      </x:c>
      <x:c r="S266" t="str">
        <x:v>NÃO</x:v>
      </x:c>
      <x:c r="T266" t="str">
        <x:v>REVISAR_OK</x:v>
      </x:c>
      <x:c r="U266" t="str">
        <x:v>TABELA_AC_LOG_C_VARGAS_DISTRIBUICAO_AP_2025.pdf</x:v>
      </x:c>
      <x:c r="V266" t="str">
        <x:v>1</x:v>
      </x:c>
      <x:c r="W266" t="str">
        <x:v>Unidade/praça LAJ/LAJI; mínimo por CT-e R$ 33.64; FRETE PESO: peso em kg × R$ 0,84104/kg (equivalente a R$ 841.04/ton).</x:v>
      </x:c>
      <x:c r="X266" t="str">
        <x:v>SIM</x:v>
      </x:c>
      <x:c r="Y266" t="str">
        <x:v>0,20%</x:v>
      </x:c>
      <x:c r="Z266" t="str">
        <x:v>NÃO</x:v>
      </x:c>
      <x:c r="AA266"/>
      <x:c r="AB266"/>
      <x:c r="AC266" t="str">
        <x:v>SIM</x:v>
      </x:c>
      <x:c r="AD266" t="str">
        <x:v>AC LOG / C VARGAS</x:v>
      </x:c>
      <x:c r="AE266" t="str">
        <x:v>FRETE_PESO</x:v>
      </x:c>
      <x:c r="AF266"/>
      <x:c r="AG266" t="str">
        <x:v>2.6.44</x:v>
      </x:c>
      <x:c r="AH266" t="str">
        <x:v>Cálculo confirmado: kg × R$ 0,84104/kg. O campo Tonelagem Mínima permanece em R$/ton para compatibilidade com o motor RC26.6.</x:v>
      </x:c>
      <x:c r="AI266" t="n">
        <x:v>841.04</x:v>
      </x:c>
    </x:row>
    <x:row r="267">
      <x:c r="A267" t="str">
        <x:v>ACV_0003</x:v>
      </x:c>
      <x:c r="B267" t="str">
        <x:v>AC_LOG_C_VARGAS</x:v>
      </x:c>
      <x:c r="C267" t="str">
        <x:v>08/10/2025</x:v>
      </x:c>
      <x:c r="D267"/>
      <x:c r="E267"/>
      <x:c r="F267"/>
      <x:c r="G267" t="str">
        <x:v>LARANJAL DO JARI</x:v>
      </x:c>
      <x:c r="H267" t="str">
        <x:v>AP</x:v>
      </x:c>
      <x:c r="I267" t="str">
        <x:v>LAJ/LAJP</x:v>
      </x:c>
      <x:c r="J267" t="str">
        <x:v>Distribuição AP</x:v>
      </x:c>
      <x:c r="K267" t="str">
        <x:v>23%</x:v>
      </x:c>
      <x:c r="L267" t="n">
        <x:v>33.64</x:v>
      </x:c>
      <x:c r="M267"/>
      <x:c r="N267"/>
      <x:c r="O267"/>
      <x:c r="P267" t="str">
        <x:v>3+2</x:v>
      </x:c>
      <x:c r="Q267" t="str">
        <x:v>Distribuição</x:v>
      </x:c>
      <x:c r="R267" t="str">
        <x:v>ORIGINAL</x:v>
      </x:c>
      <x:c r="S267" t="str">
        <x:v>NÃO</x:v>
      </x:c>
      <x:c r="T267" t="str">
        <x:v>REVISAR_OK</x:v>
      </x:c>
      <x:c r="U267" t="str">
        <x:v>TABELA_AC_LOG_C_VARGAS_DISTRIBUICAO_AP_2025.pdf</x:v>
      </x:c>
      <x:c r="V267" t="str">
        <x:v>1</x:v>
      </x:c>
      <x:c r="W267" t="str">
        <x:v>Unidade/praça LAJ/LAJP; mínimo por CT-e R$ 33.64; FRETE PESO: peso em kg × R$ 0,84104/kg (equivalente a R$ 841.04/ton).</x:v>
      </x:c>
      <x:c r="X267" t="str">
        <x:v>SIM</x:v>
      </x:c>
      <x:c r="Y267" t="str">
        <x:v>0,20%</x:v>
      </x:c>
      <x:c r="Z267" t="str">
        <x:v>NÃO</x:v>
      </x:c>
      <x:c r="AA267"/>
      <x:c r="AB267"/>
      <x:c r="AC267" t="str">
        <x:v>SIM</x:v>
      </x:c>
      <x:c r="AD267" t="str">
        <x:v>AC LOG / C VARGAS</x:v>
      </x:c>
      <x:c r="AE267" t="str">
        <x:v>FRETE_PESO</x:v>
      </x:c>
      <x:c r="AF267"/>
      <x:c r="AG267" t="str">
        <x:v>2.6.44</x:v>
      </x:c>
      <x:c r="AH267" t="str">
        <x:v>Cálculo confirmado: kg × R$ 0,84104/kg. O campo Tonelagem Mínima permanece em R$/ton para compatibilidade com o motor RC26.6.</x:v>
      </x:c>
      <x:c r="AI267" t="n">
        <x:v>841.04</x:v>
      </x:c>
    </x:row>
    <x:row r="268">
      <x:c r="A268" t="str">
        <x:v>ACV_0004</x:v>
      </x:c>
      <x:c r="B268" t="str">
        <x:v>AC_LOG_C_VARGAS</x:v>
      </x:c>
      <x:c r="C268" t="str">
        <x:v>08/10/2025</x:v>
      </x:c>
      <x:c r="D268"/>
      <x:c r="E268"/>
      <x:c r="F268"/>
      <x:c r="G268" t="str">
        <x:v>AMAPA</x:v>
      </x:c>
      <x:c r="H268" t="str">
        <x:v>AP</x:v>
      </x:c>
      <x:c r="I268" t="str">
        <x:v>MCP/MCPI</x:v>
      </x:c>
      <x:c r="J268" t="str">
        <x:v>Distribuição AP</x:v>
      </x:c>
      <x:c r="K268" t="str">
        <x:v>23%</x:v>
      </x:c>
      <x:c r="L268" t="n">
        <x:v>31.54</x:v>
      </x:c>
      <x:c r="M268"/>
      <x:c r="N268"/>
      <x:c r="O268"/>
      <x:c r="P268" t="str">
        <x:v>D5</x:v>
      </x:c>
      <x:c r="Q268" t="str">
        <x:v>Distribuição</x:v>
      </x:c>
      <x:c r="R268" t="str">
        <x:v>ORIGINAL</x:v>
      </x:c>
      <x:c r="S268" t="str">
        <x:v>NÃO</x:v>
      </x:c>
      <x:c r="T268" t="str">
        <x:v>REVISAR_OK</x:v>
      </x:c>
      <x:c r="U268" t="str">
        <x:v>TABELA_AC_LOG_C_VARGAS_DISTRIBUICAO_AP_2025.pdf</x:v>
      </x:c>
      <x:c r="V268" t="str">
        <x:v>1</x:v>
      </x:c>
      <x:c r="W268" t="str">
        <x:v>Unidade/praça MCP/MCPI; mínimo por CT-e R$ 31.54; FRETE PESO: peso em kg × R$ 0,78848/kg (equivalente a R$ 788.48/ton).</x:v>
      </x:c>
      <x:c r="X268" t="str">
        <x:v>SIM</x:v>
      </x:c>
      <x:c r="Y268" t="str">
        <x:v>0,20%</x:v>
      </x:c>
      <x:c r="Z268" t="str">
        <x:v>NÃO</x:v>
      </x:c>
      <x:c r="AA268"/>
      <x:c r="AB268"/>
      <x:c r="AC268" t="str">
        <x:v>SIM</x:v>
      </x:c>
      <x:c r="AD268" t="str">
        <x:v>AC LOG / C VARGAS</x:v>
      </x:c>
      <x:c r="AE268" t="str">
        <x:v>FRETE_PESO</x:v>
      </x:c>
      <x:c r="AF268"/>
      <x:c r="AG268" t="str">
        <x:v>2.6.44</x:v>
      </x:c>
      <x:c r="AH268" t="str">
        <x:v>Cálculo confirmado: kg × R$ 0,78848/kg. O campo Tonelagem Mínima permanece em R$/ton para compatibilidade com o motor RC26.6.</x:v>
      </x:c>
      <x:c r="AI268" t="n">
        <x:v>788.48</x:v>
      </x:c>
    </x:row>
    <x:row r="269">
      <x:c r="A269" t="str">
        <x:v>ACV_0005</x:v>
      </x:c>
      <x:c r="B269" t="str">
        <x:v>AC_LOG_C_VARGAS</x:v>
      </x:c>
      <x:c r="C269" t="str">
        <x:v>08/10/2025</x:v>
      </x:c>
      <x:c r="D269"/>
      <x:c r="E269"/>
      <x:c r="F269"/>
      <x:c r="G269" t="str">
        <x:v>CALCOENE</x:v>
      </x:c>
      <x:c r="H269" t="str">
        <x:v>AP</x:v>
      </x:c>
      <x:c r="I269" t="str">
        <x:v>MCP/MCPI</x:v>
      </x:c>
      <x:c r="J269" t="str">
        <x:v>Distribuição AP</x:v>
      </x:c>
      <x:c r="K269" t="str">
        <x:v>23%</x:v>
      </x:c>
      <x:c r="L269" t="n">
        <x:v>31.54</x:v>
      </x:c>
      <x:c r="M269"/>
      <x:c r="N269"/>
      <x:c r="O269"/>
      <x:c r="P269" t="str">
        <x:v>D5</x:v>
      </x:c>
      <x:c r="Q269" t="str">
        <x:v>Distribuição</x:v>
      </x:c>
      <x:c r="R269" t="str">
        <x:v>ORIGINAL</x:v>
      </x:c>
      <x:c r="S269" t="str">
        <x:v>NÃO</x:v>
      </x:c>
      <x:c r="T269" t="str">
        <x:v>REVISAR_OK</x:v>
      </x:c>
      <x:c r="U269" t="str">
        <x:v>TABELA_AC_LOG_C_VARGAS_DISTRIBUICAO_AP_2025.pdf</x:v>
      </x:c>
      <x:c r="V269" t="str">
        <x:v>1</x:v>
      </x:c>
      <x:c r="W269" t="str">
        <x:v>Unidade/praça MCP/MCPI; mínimo por CT-e R$ 31.54; FRETE PESO: peso em kg × R$ 0,78848/kg (equivalente a R$ 788.48/ton).</x:v>
      </x:c>
      <x:c r="X269" t="str">
        <x:v>SIM</x:v>
      </x:c>
      <x:c r="Y269" t="str">
        <x:v>0,20%</x:v>
      </x:c>
      <x:c r="Z269" t="str">
        <x:v>NÃO</x:v>
      </x:c>
      <x:c r="AA269"/>
      <x:c r="AB269"/>
      <x:c r="AC269" t="str">
        <x:v>SIM</x:v>
      </x:c>
      <x:c r="AD269" t="str">
        <x:v>AC LOG / C VARGAS</x:v>
      </x:c>
      <x:c r="AE269" t="str">
        <x:v>FRETE_PESO</x:v>
      </x:c>
      <x:c r="AF269"/>
      <x:c r="AG269" t="str">
        <x:v>2.6.44</x:v>
      </x:c>
      <x:c r="AH269" t="str">
        <x:v>Cálculo confirmado: kg × R$ 0,78848/kg. O campo Tonelagem Mínima permanece em R$/ton para compatibilidade com o motor RC26.6.</x:v>
      </x:c>
      <x:c r="AI269" t="n">
        <x:v>788.48</x:v>
      </x:c>
    </x:row>
    <x:row r="270">
      <x:c r="A270" t="str">
        <x:v>ACV_0006</x:v>
      </x:c>
      <x:c r="B270" t="str">
        <x:v>AC_LOG_C_VARGAS</x:v>
      </x:c>
      <x:c r="C270" t="str">
        <x:v>08/10/2025</x:v>
      </x:c>
      <x:c r="D270"/>
      <x:c r="E270"/>
      <x:c r="F270"/>
      <x:c r="G270" t="str">
        <x:v>CUTIAS</x:v>
      </x:c>
      <x:c r="H270" t="str">
        <x:v>AP</x:v>
      </x:c>
      <x:c r="I270" t="str">
        <x:v>MCP/MCPI</x:v>
      </x:c>
      <x:c r="J270" t="str">
        <x:v>Distribuição AP</x:v>
      </x:c>
      <x:c r="K270" t="str">
        <x:v>23%</x:v>
      </x:c>
      <x:c r="L270" t="n">
        <x:v>31.54</x:v>
      </x:c>
      <x:c r="M270"/>
      <x:c r="N270"/>
      <x:c r="O270"/>
      <x:c r="P270" t="str">
        <x:v>D5</x:v>
      </x:c>
      <x:c r="Q270" t="str">
        <x:v>Distribuição</x:v>
      </x:c>
      <x:c r="R270" t="str">
        <x:v>ORIGINAL</x:v>
      </x:c>
      <x:c r="S270" t="str">
        <x:v>NÃO</x:v>
      </x:c>
      <x:c r="T270" t="str">
        <x:v>REVISAR_OK</x:v>
      </x:c>
      <x:c r="U270" t="str">
        <x:v>TABELA_AC_LOG_C_VARGAS_DISTRIBUICAO_AP_2025.pdf</x:v>
      </x:c>
      <x:c r="V270" t="str">
        <x:v>1</x:v>
      </x:c>
      <x:c r="W270" t="str">
        <x:v>Unidade/praça MCP/MCPI; mínimo por CT-e R$ 31.54; FRETE PESO: peso em kg × R$ 0,78848/kg (equivalente a R$ 788.48/ton).</x:v>
      </x:c>
      <x:c r="X270" t="str">
        <x:v>SIM</x:v>
      </x:c>
      <x:c r="Y270" t="str">
        <x:v>0,20%</x:v>
      </x:c>
      <x:c r="Z270" t="str">
        <x:v>NÃO</x:v>
      </x:c>
      <x:c r="AA270"/>
      <x:c r="AB270"/>
      <x:c r="AC270" t="str">
        <x:v>SIM</x:v>
      </x:c>
      <x:c r="AD270" t="str">
        <x:v>AC LOG / C VARGAS</x:v>
      </x:c>
      <x:c r="AE270" t="str">
        <x:v>FRETE_PESO</x:v>
      </x:c>
      <x:c r="AF270"/>
      <x:c r="AG270" t="str">
        <x:v>2.6.44</x:v>
      </x:c>
      <x:c r="AH270" t="str">
        <x:v>Cálculo confirmado: kg × R$ 0,78848/kg. O campo Tonelagem Mínima permanece em R$/ton para compatibilidade com o motor RC26.6.</x:v>
      </x:c>
      <x:c r="AI270" t="n">
        <x:v>788.48</x:v>
      </x:c>
    </x:row>
    <x:row r="271">
      <x:c r="A271" t="str">
        <x:v>ACV_0007</x:v>
      </x:c>
      <x:c r="B271" t="str">
        <x:v>AC_LOG_C_VARGAS</x:v>
      </x:c>
      <x:c r="C271" t="str">
        <x:v>08/10/2025</x:v>
      </x:c>
      <x:c r="D271"/>
      <x:c r="E271"/>
      <x:c r="F271"/>
      <x:c r="G271" t="str">
        <x:v>FERREIRA GOMES</x:v>
      </x:c>
      <x:c r="H271" t="str">
        <x:v>AP</x:v>
      </x:c>
      <x:c r="I271" t="str">
        <x:v>MCP/MCPI</x:v>
      </x:c>
      <x:c r="J271" t="str">
        <x:v>Distribuição AP</x:v>
      </x:c>
      <x:c r="K271" t="str">
        <x:v>23%</x:v>
      </x:c>
      <x:c r="L271" t="n">
        <x:v>31.54</x:v>
      </x:c>
      <x:c r="M271"/>
      <x:c r="N271"/>
      <x:c r="O271"/>
      <x:c r="P271" t="str">
        <x:v>D5</x:v>
      </x:c>
      <x:c r="Q271" t="str">
        <x:v>Distribuição</x:v>
      </x:c>
      <x:c r="R271" t="str">
        <x:v>ORIGINAL</x:v>
      </x:c>
      <x:c r="S271" t="str">
        <x:v>NÃO</x:v>
      </x:c>
      <x:c r="T271" t="str">
        <x:v>REVISAR_OK</x:v>
      </x:c>
      <x:c r="U271" t="str">
        <x:v>TABELA_AC_LOG_C_VARGAS_DISTRIBUICAO_AP_2025.pdf</x:v>
      </x:c>
      <x:c r="V271" t="str">
        <x:v>1</x:v>
      </x:c>
      <x:c r="W271" t="str">
        <x:v>Unidade/praça MCP/MCPI; mínimo por CT-e R$ 31.54; FRETE PESO: peso em kg × R$ 0,78848/kg (equivalente a R$ 788.48/ton).</x:v>
      </x:c>
      <x:c r="X271" t="str">
        <x:v>SIM</x:v>
      </x:c>
      <x:c r="Y271" t="str">
        <x:v>0,20%</x:v>
      </x:c>
      <x:c r="Z271" t="str">
        <x:v>NÃO</x:v>
      </x:c>
      <x:c r="AA271"/>
      <x:c r="AB271"/>
      <x:c r="AC271" t="str">
        <x:v>SIM</x:v>
      </x:c>
      <x:c r="AD271" t="str">
        <x:v>AC LOG / C VARGAS</x:v>
      </x:c>
      <x:c r="AE271" t="str">
        <x:v>FRETE_PESO</x:v>
      </x:c>
      <x:c r="AF271"/>
      <x:c r="AG271" t="str">
        <x:v>2.6.44</x:v>
      </x:c>
      <x:c r="AH271" t="str">
        <x:v>Cálculo confirmado: kg × R$ 0,78848/kg. O campo Tonelagem Mínima permanece em R$/ton para compatibilidade com o motor RC26.6.</x:v>
      </x:c>
      <x:c r="AI271" t="n">
        <x:v>788.48</x:v>
      </x:c>
    </x:row>
    <x:row r="272">
      <x:c r="A272" t="str">
        <x:v>ACV_0008</x:v>
      </x:c>
      <x:c r="B272" t="str">
        <x:v>AC_LOG_C_VARGAS</x:v>
      </x:c>
      <x:c r="C272" t="str">
        <x:v>08/10/2025</x:v>
      </x:c>
      <x:c r="D272"/>
      <x:c r="E272"/>
      <x:c r="F272"/>
      <x:c r="G272" t="str">
        <x:v>ITAUBAL</x:v>
      </x:c>
      <x:c r="H272" t="str">
        <x:v>AP</x:v>
      </x:c>
      <x:c r="I272" t="str">
        <x:v>MCP/MCPI</x:v>
      </x:c>
      <x:c r="J272" t="str">
        <x:v>Distribuição AP</x:v>
      </x:c>
      <x:c r="K272" t="str">
        <x:v>23%</x:v>
      </x:c>
      <x:c r="L272" t="n">
        <x:v>31.54</x:v>
      </x:c>
      <x:c r="M272"/>
      <x:c r="N272"/>
      <x:c r="O272"/>
      <x:c r="P272" t="str">
        <x:v>D5</x:v>
      </x:c>
      <x:c r="Q272" t="str">
        <x:v>Distribuição</x:v>
      </x:c>
      <x:c r="R272" t="str">
        <x:v>ORIGINAL</x:v>
      </x:c>
      <x:c r="S272" t="str">
        <x:v>NÃO</x:v>
      </x:c>
      <x:c r="T272" t="str">
        <x:v>REVISAR_OK</x:v>
      </x:c>
      <x:c r="U272" t="str">
        <x:v>TABELA_AC_LOG_C_VARGAS_DISTRIBUICAO_AP_2025.pdf</x:v>
      </x:c>
      <x:c r="V272" t="str">
        <x:v>1</x:v>
      </x:c>
      <x:c r="W272" t="str">
        <x:v>Unidade/praça MCP/MCPI; mínimo por CT-e R$ 31.54; FRETE PESO: peso em kg × R$ 0,78848/kg (equivalente a R$ 788.48/ton).</x:v>
      </x:c>
      <x:c r="X272" t="str">
        <x:v>SIM</x:v>
      </x:c>
      <x:c r="Y272" t="str">
        <x:v>0,20%</x:v>
      </x:c>
      <x:c r="Z272" t="str">
        <x:v>NÃO</x:v>
      </x:c>
      <x:c r="AA272"/>
      <x:c r="AB272"/>
      <x:c r="AC272" t="str">
        <x:v>SIM</x:v>
      </x:c>
      <x:c r="AD272" t="str">
        <x:v>AC LOG / C VARGAS</x:v>
      </x:c>
      <x:c r="AE272" t="str">
        <x:v>FRETE_PESO</x:v>
      </x:c>
      <x:c r="AF272"/>
      <x:c r="AG272" t="str">
        <x:v>2.6.44</x:v>
      </x:c>
      <x:c r="AH272" t="str">
        <x:v>Cálculo confirmado: kg × R$ 0,78848/kg. O campo Tonelagem Mínima permanece em R$/ton para compatibilidade com o motor RC26.6.</x:v>
      </x:c>
      <x:c r="AI272" t="n">
        <x:v>788.48</x:v>
      </x:c>
    </x:row>
    <x:row r="273">
      <x:c r="A273" t="str">
        <x:v>ACV_0009</x:v>
      </x:c>
      <x:c r="B273" t="str">
        <x:v>AC_LOG_C_VARGAS</x:v>
      </x:c>
      <x:c r="C273" t="str">
        <x:v>08/10/2025</x:v>
      </x:c>
      <x:c r="D273"/>
      <x:c r="E273"/>
      <x:c r="F273"/>
      <x:c r="G273" t="str">
        <x:v>MAZAGAO</x:v>
      </x:c>
      <x:c r="H273" t="str">
        <x:v>AP</x:v>
      </x:c>
      <x:c r="I273" t="str">
        <x:v>MCP/MCPI</x:v>
      </x:c>
      <x:c r="J273" t="str">
        <x:v>Distribuição AP</x:v>
      </x:c>
      <x:c r="K273" t="str">
        <x:v>23%</x:v>
      </x:c>
      <x:c r="L273" t="n">
        <x:v>31.54</x:v>
      </x:c>
      <x:c r="M273"/>
      <x:c r="N273"/>
      <x:c r="O273"/>
      <x:c r="P273" t="str">
        <x:v>D5</x:v>
      </x:c>
      <x:c r="Q273" t="str">
        <x:v>Distribuição</x:v>
      </x:c>
      <x:c r="R273" t="str">
        <x:v>ORIGINAL</x:v>
      </x:c>
      <x:c r="S273" t="str">
        <x:v>NÃO</x:v>
      </x:c>
      <x:c r="T273" t="str">
        <x:v>REVISAR_OK</x:v>
      </x:c>
      <x:c r="U273" t="str">
        <x:v>TABELA_AC_LOG_C_VARGAS_DISTRIBUICAO_AP_2025.pdf</x:v>
      </x:c>
      <x:c r="V273" t="str">
        <x:v>1</x:v>
      </x:c>
      <x:c r="W273" t="str">
        <x:v>Unidade/praça MCP/MCPI; mínimo por CT-e R$ 31.54; FRETE PESO: peso em kg × R$ 0,78848/kg (equivalente a R$ 788.48/ton).</x:v>
      </x:c>
      <x:c r="X273" t="str">
        <x:v>SIM</x:v>
      </x:c>
      <x:c r="Y273" t="str">
        <x:v>0,20%</x:v>
      </x:c>
      <x:c r="Z273" t="str">
        <x:v>NÃO</x:v>
      </x:c>
      <x:c r="AA273"/>
      <x:c r="AB273"/>
      <x:c r="AC273" t="str">
        <x:v>SIM</x:v>
      </x:c>
      <x:c r="AD273" t="str">
        <x:v>AC LOG / C VARGAS</x:v>
      </x:c>
      <x:c r="AE273" t="str">
        <x:v>FRETE_PESO</x:v>
      </x:c>
      <x:c r="AF273"/>
      <x:c r="AG273" t="str">
        <x:v>2.6.44</x:v>
      </x:c>
      <x:c r="AH273" t="str">
        <x:v>Cálculo confirmado: kg × R$ 0,78848/kg. O campo Tonelagem Mínima permanece em R$/ton para compatibilidade com o motor RC26.6.</x:v>
      </x:c>
      <x:c r="AI273" t="n">
        <x:v>788.48</x:v>
      </x:c>
    </x:row>
    <x:row r="274">
      <x:c r="A274" t="str">
        <x:v>ACV_0010</x:v>
      </x:c>
      <x:c r="B274" t="str">
        <x:v>AC_LOG_C_VARGAS</x:v>
      </x:c>
      <x:c r="C274" t="str">
        <x:v>08/10/2025</x:v>
      </x:c>
      <x:c r="D274"/>
      <x:c r="E274"/>
      <x:c r="F274"/>
      <x:c r="G274" t="str">
        <x:v>PORTO GRANDE</x:v>
      </x:c>
      <x:c r="H274" t="str">
        <x:v>AP</x:v>
      </x:c>
      <x:c r="I274" t="str">
        <x:v>MCP/MCPI</x:v>
      </x:c>
      <x:c r="J274" t="str">
        <x:v>Distribuição AP</x:v>
      </x:c>
      <x:c r="K274" t="str">
        <x:v>23%</x:v>
      </x:c>
      <x:c r="L274" t="n">
        <x:v>31.54</x:v>
      </x:c>
      <x:c r="M274"/>
      <x:c r="N274"/>
      <x:c r="O274"/>
      <x:c r="P274" t="str">
        <x:v>D5</x:v>
      </x:c>
      <x:c r="Q274" t="str">
        <x:v>Distribuição</x:v>
      </x:c>
      <x:c r="R274" t="str">
        <x:v>ORIGINAL</x:v>
      </x:c>
      <x:c r="S274" t="str">
        <x:v>NÃO</x:v>
      </x:c>
      <x:c r="T274" t="str">
        <x:v>REVISAR_OK</x:v>
      </x:c>
      <x:c r="U274" t="str">
        <x:v>TABELA_AC_LOG_C_VARGAS_DISTRIBUICAO_AP_2025.pdf</x:v>
      </x:c>
      <x:c r="V274" t="str">
        <x:v>1</x:v>
      </x:c>
      <x:c r="W274" t="str">
        <x:v>Unidade/praça MCP/MCPI; mínimo por CT-e R$ 31.54; FRETE PESO: peso em kg × R$ 0,78848/kg (equivalente a R$ 788.48/ton).</x:v>
      </x:c>
      <x:c r="X274" t="str">
        <x:v>SIM</x:v>
      </x:c>
      <x:c r="Y274" t="str">
        <x:v>0,20%</x:v>
      </x:c>
      <x:c r="Z274" t="str">
        <x:v>NÃO</x:v>
      </x:c>
      <x:c r="AA274"/>
      <x:c r="AB274"/>
      <x:c r="AC274" t="str">
        <x:v>SIM</x:v>
      </x:c>
      <x:c r="AD274" t="str">
        <x:v>AC LOG / C VARGAS</x:v>
      </x:c>
      <x:c r="AE274" t="str">
        <x:v>FRETE_PESO</x:v>
      </x:c>
      <x:c r="AF274"/>
      <x:c r="AG274" t="str">
        <x:v>2.6.44</x:v>
      </x:c>
      <x:c r="AH274" t="str">
        <x:v>Cálculo confirmado: kg × R$ 0,78848/kg. O campo Tonelagem Mínima permanece em R$/ton para compatibilidade com o motor RC26.6.</x:v>
      </x:c>
      <x:c r="AI274" t="n">
        <x:v>788.48</x:v>
      </x:c>
    </x:row>
    <x:row r="275">
      <x:c r="A275" t="str">
        <x:v>ACV_0011</x:v>
      </x:c>
      <x:c r="B275" t="str">
        <x:v>AC_LOG_C_VARGAS</x:v>
      </x:c>
      <x:c r="C275" t="str">
        <x:v>08/10/2025</x:v>
      </x:c>
      <x:c r="D275"/>
      <x:c r="E275"/>
      <x:c r="F275"/>
      <x:c r="G275" t="str">
        <x:v>PRACUUBA</x:v>
      </x:c>
      <x:c r="H275" t="str">
        <x:v>AP</x:v>
      </x:c>
      <x:c r="I275" t="str">
        <x:v>MCP/MCPI</x:v>
      </x:c>
      <x:c r="J275" t="str">
        <x:v>Distribuição AP</x:v>
      </x:c>
      <x:c r="K275" t="str">
        <x:v>23%</x:v>
      </x:c>
      <x:c r="L275" t="n">
        <x:v>31.54</x:v>
      </x:c>
      <x:c r="M275"/>
      <x:c r="N275"/>
      <x:c r="O275"/>
      <x:c r="P275" t="str">
        <x:v>D5</x:v>
      </x:c>
      <x:c r="Q275" t="str">
        <x:v>Distribuição</x:v>
      </x:c>
      <x:c r="R275" t="str">
        <x:v>ORIGINAL</x:v>
      </x:c>
      <x:c r="S275" t="str">
        <x:v>NÃO</x:v>
      </x:c>
      <x:c r="T275" t="str">
        <x:v>REVISAR_OK</x:v>
      </x:c>
      <x:c r="U275" t="str">
        <x:v>TABELA_AC_LOG_C_VARGAS_DISTRIBUICAO_AP_2025.pdf</x:v>
      </x:c>
      <x:c r="V275" t="str">
        <x:v>1</x:v>
      </x:c>
      <x:c r="W275" t="str">
        <x:v>Unidade/praça MCP/MCPI; mínimo por CT-e R$ 31.54; FRETE PESO: peso em kg × R$ 0,78848/kg (equivalente a R$ 788.48/ton).</x:v>
      </x:c>
      <x:c r="X275" t="str">
        <x:v>SIM</x:v>
      </x:c>
      <x:c r="Y275" t="str">
        <x:v>0,20%</x:v>
      </x:c>
      <x:c r="Z275" t="str">
        <x:v>NÃO</x:v>
      </x:c>
      <x:c r="AA275"/>
      <x:c r="AB275"/>
      <x:c r="AC275" t="str">
        <x:v>SIM</x:v>
      </x:c>
      <x:c r="AD275" t="str">
        <x:v>AC LOG / C VARGAS</x:v>
      </x:c>
      <x:c r="AE275" t="str">
        <x:v>FRETE_PESO</x:v>
      </x:c>
      <x:c r="AF275"/>
      <x:c r="AG275" t="str">
        <x:v>2.6.44</x:v>
      </x:c>
      <x:c r="AH275" t="str">
        <x:v>Cálculo confirmado: kg × R$ 0,78848/kg. O campo Tonelagem Mínima permanece em R$/ton para compatibilidade com o motor RC26.6.</x:v>
      </x:c>
      <x:c r="AI275" t="n">
        <x:v>788.48</x:v>
      </x:c>
    </x:row>
    <x:row r="276">
      <x:c r="A276" t="str">
        <x:v>ACV_0012</x:v>
      </x:c>
      <x:c r="B276" t="str">
        <x:v>AC_LOG_C_VARGAS</x:v>
      </x:c>
      <x:c r="C276" t="str">
        <x:v>08/10/2025</x:v>
      </x:c>
      <x:c r="D276"/>
      <x:c r="E276"/>
      <x:c r="F276"/>
      <x:c r="G276" t="str">
        <x:v>TARTARUGALZINHO</x:v>
      </x:c>
      <x:c r="H276" t="str">
        <x:v>AP</x:v>
      </x:c>
      <x:c r="I276" t="str">
        <x:v>MCP/MCPI</x:v>
      </x:c>
      <x:c r="J276" t="str">
        <x:v>Distribuição AP</x:v>
      </x:c>
      <x:c r="K276" t="str">
        <x:v>23%</x:v>
      </x:c>
      <x:c r="L276" t="n">
        <x:v>31.54</x:v>
      </x:c>
      <x:c r="M276"/>
      <x:c r="N276"/>
      <x:c r="O276"/>
      <x:c r="P276" t="str">
        <x:v>D5</x:v>
      </x:c>
      <x:c r="Q276" t="str">
        <x:v>Distribuição</x:v>
      </x:c>
      <x:c r="R276" t="str">
        <x:v>ORIGINAL</x:v>
      </x:c>
      <x:c r="S276" t="str">
        <x:v>NÃO</x:v>
      </x:c>
      <x:c r="T276" t="str">
        <x:v>REVISAR_OK</x:v>
      </x:c>
      <x:c r="U276" t="str">
        <x:v>TABELA_AC_LOG_C_VARGAS_DISTRIBUICAO_AP_2025.pdf</x:v>
      </x:c>
      <x:c r="V276" t="str">
        <x:v>1</x:v>
      </x:c>
      <x:c r="W276" t="str">
        <x:v>Unidade/praça MCP/MCPI; mínimo por CT-e R$ 31.54; FRETE PESO: peso em kg × R$ 0,78848/kg (equivalente a R$ 788.48/ton).</x:v>
      </x:c>
      <x:c r="X276" t="str">
        <x:v>SIM</x:v>
      </x:c>
      <x:c r="Y276" t="str">
        <x:v>0,20%</x:v>
      </x:c>
      <x:c r="Z276" t="str">
        <x:v>NÃO</x:v>
      </x:c>
      <x:c r="AA276"/>
      <x:c r="AB276"/>
      <x:c r="AC276" t="str">
        <x:v>SIM</x:v>
      </x:c>
      <x:c r="AD276" t="str">
        <x:v>AC LOG / C VARGAS</x:v>
      </x:c>
      <x:c r="AE276" t="str">
        <x:v>FRETE_PESO</x:v>
      </x:c>
      <x:c r="AF276"/>
      <x:c r="AG276" t="str">
        <x:v>2.6.44</x:v>
      </x:c>
      <x:c r="AH276" t="str">
        <x:v>Cálculo confirmado: kg × R$ 0,78848/kg. O campo Tonelagem Mínima permanece em R$/ton para compatibilidade com o motor RC26.6.</x:v>
      </x:c>
      <x:c r="AI276" t="n">
        <x:v>788.48</x:v>
      </x:c>
    </x:row>
    <x:row r="277">
      <x:c r="A277" t="str">
        <x:v>ACV_0013</x:v>
      </x:c>
      <x:c r="B277" t="str">
        <x:v>AC_LOG_C_VARGAS</x:v>
      </x:c>
      <x:c r="C277" t="str">
        <x:v>08/10/2025</x:v>
      </x:c>
      <x:c r="D277"/>
      <x:c r="E277"/>
      <x:c r="F277"/>
      <x:c r="G277" t="str">
        <x:v>AFUA</x:v>
      </x:c>
      <x:c r="H277" t="str">
        <x:v>PA</x:v>
      </x:c>
      <x:c r="I277" t="str">
        <x:v>MCP/MCPI</x:v>
      </x:c>
      <x:c r="J277" t="str">
        <x:v>Distribuição AP</x:v>
      </x:c>
      <x:c r="K277" t="str">
        <x:v>23%</x:v>
      </x:c>
      <x:c r="L277" t="n">
        <x:v>33.64</x:v>
      </x:c>
      <x:c r="M277"/>
      <x:c r="N277"/>
      <x:c r="O277"/>
      <x:c r="P277" t="str">
        <x:v>D5</x:v>
      </x:c>
      <x:c r="Q277" t="str">
        <x:v>Distribuição</x:v>
      </x:c>
      <x:c r="R277" t="str">
        <x:v>ORIGINAL</x:v>
      </x:c>
      <x:c r="S277" t="str">
        <x:v>NÃO</x:v>
      </x:c>
      <x:c r="T277" t="str">
        <x:v>REVISAR_OK</x:v>
      </x:c>
      <x:c r="U277" t="str">
        <x:v>TABELA_AC_LOG_C_VARGAS_DISTRIBUICAO_AP_2025.pdf</x:v>
      </x:c>
      <x:c r="V277" t="str">
        <x:v>1</x:v>
      </x:c>
      <x:c r="W277" t="str">
        <x:v>Unidade/praça MCP/MCPI; mínimo por CT-e R$ 33.64; FRETE PESO: peso em kg × R$ 0,84104/kg (equivalente a R$ 841.04/ton).</x:v>
      </x:c>
      <x:c r="X277" t="str">
        <x:v>SIM</x:v>
      </x:c>
      <x:c r="Y277" t="str">
        <x:v>0,20%</x:v>
      </x:c>
      <x:c r="Z277" t="str">
        <x:v>NÃO</x:v>
      </x:c>
      <x:c r="AA277"/>
      <x:c r="AB277"/>
      <x:c r="AC277" t="str">
        <x:v>SIM</x:v>
      </x:c>
      <x:c r="AD277" t="str">
        <x:v>AC LOG / C VARGAS</x:v>
      </x:c>
      <x:c r="AE277" t="str">
        <x:v>FRETE_PESO</x:v>
      </x:c>
      <x:c r="AF277"/>
      <x:c r="AG277" t="str">
        <x:v>2.6.44</x:v>
      </x:c>
      <x:c r="AH277" t="str">
        <x:v>Cálculo confirmado: kg × R$ 0,84104/kg. O campo Tonelagem Mínima permanece em R$/ton para compatibilidade com o motor RC26.6.</x:v>
      </x:c>
      <x:c r="AI277" t="n">
        <x:v>841.04</x:v>
      </x:c>
    </x:row>
    <x:row r="278">
      <x:c r="A278" t="str">
        <x:v>ACV_0014</x:v>
      </x:c>
      <x:c r="B278" t="str">
        <x:v>AC_LOG_C_VARGAS</x:v>
      </x:c>
      <x:c r="C278" t="str">
        <x:v>08/10/2025</x:v>
      </x:c>
      <x:c r="D278"/>
      <x:c r="E278"/>
      <x:c r="F278"/>
      <x:c r="G278" t="str">
        <x:v>CHAVES</x:v>
      </x:c>
      <x:c r="H278" t="str">
        <x:v>PA</x:v>
      </x:c>
      <x:c r="I278" t="str">
        <x:v>MCP/MCPI</x:v>
      </x:c>
      <x:c r="J278" t="str">
        <x:v>Distribuição AP</x:v>
      </x:c>
      <x:c r="K278" t="str">
        <x:v>23%</x:v>
      </x:c>
      <x:c r="L278" t="n">
        <x:v>33.64</x:v>
      </x:c>
      <x:c r="M278"/>
      <x:c r="N278"/>
      <x:c r="O278"/>
      <x:c r="P278" t="str">
        <x:v>D7</x:v>
      </x:c>
      <x:c r="Q278" t="str">
        <x:v>Distribuição</x:v>
      </x:c>
      <x:c r="R278" t="str">
        <x:v>ORIGINAL</x:v>
      </x:c>
      <x:c r="S278" t="str">
        <x:v>NÃO</x:v>
      </x:c>
      <x:c r="T278" t="str">
        <x:v>REVISAR_OK</x:v>
      </x:c>
      <x:c r="U278" t="str">
        <x:v>TABELA_AC_LOG_C_VARGAS_DISTRIBUICAO_AP_2025.pdf</x:v>
      </x:c>
      <x:c r="V278" t="str">
        <x:v>1</x:v>
      </x:c>
      <x:c r="W278" t="str">
        <x:v>Unidade/praça MCP/MCPI; mínimo por CT-e R$ 33.64; FRETE PESO: peso em kg × R$ 0,84104/kg (equivalente a R$ 841.04/ton).</x:v>
      </x:c>
      <x:c r="X278" t="str">
        <x:v>SIM</x:v>
      </x:c>
      <x:c r="Y278" t="str">
        <x:v>0,20%</x:v>
      </x:c>
      <x:c r="Z278" t="str">
        <x:v>NÃO</x:v>
      </x:c>
      <x:c r="AA278"/>
      <x:c r="AB278"/>
      <x:c r="AC278" t="str">
        <x:v>SIM</x:v>
      </x:c>
      <x:c r="AD278" t="str">
        <x:v>AC LOG / C VARGAS</x:v>
      </x:c>
      <x:c r="AE278" t="str">
        <x:v>FRETE_PESO</x:v>
      </x:c>
      <x:c r="AF278"/>
      <x:c r="AG278" t="str">
        <x:v>2.6.44</x:v>
      </x:c>
      <x:c r="AH278" t="str">
        <x:v>Cálculo confirmado: kg × R$ 0,84104/kg. O campo Tonelagem Mínima permanece em R$/ton para compatibilidade com o motor RC26.6.</x:v>
      </x:c>
      <x:c r="AI278" t="n">
        <x:v>841.04</x:v>
      </x:c>
    </x:row>
    <x:row r="279">
      <x:c r="A279" t="str">
        <x:v>ACV_0015</x:v>
      </x:c>
      <x:c r="B279" t="str">
        <x:v>AC_LOG_C_VARGAS</x:v>
      </x:c>
      <x:c r="C279" t="str">
        <x:v>08/10/2025</x:v>
      </x:c>
      <x:c r="D279"/>
      <x:c r="E279"/>
      <x:c r="F279"/>
      <x:c r="G279" t="str">
        <x:v>PEDRA BRANCA DO AMAPARI</x:v>
      </x:c>
      <x:c r="H279" t="str">
        <x:v>AP</x:v>
      </x:c>
      <x:c r="I279" t="str">
        <x:v>MCP/MCPI</x:v>
      </x:c>
      <x:c r="J279" t="str">
        <x:v>Distribuição AP</x:v>
      </x:c>
      <x:c r="K279" t="str">
        <x:v>23%</x:v>
      </x:c>
      <x:c r="L279" t="n">
        <x:v>33.64</x:v>
      </x:c>
      <x:c r="M279"/>
      <x:c r="N279"/>
      <x:c r="O279"/>
      <x:c r="P279" t="str">
        <x:v>D5</x:v>
      </x:c>
      <x:c r="Q279" t="str">
        <x:v>Distribuição</x:v>
      </x:c>
      <x:c r="R279" t="str">
        <x:v>ORIGINAL</x:v>
      </x:c>
      <x:c r="S279" t="str">
        <x:v>NÃO</x:v>
      </x:c>
      <x:c r="T279" t="str">
        <x:v>REVISAR_OK</x:v>
      </x:c>
      <x:c r="U279" t="str">
        <x:v>TABELA_AC_LOG_C_VARGAS_DISTRIBUICAO_AP_2025.pdf</x:v>
      </x:c>
      <x:c r="V279" t="str">
        <x:v>1</x:v>
      </x:c>
      <x:c r="W279" t="str">
        <x:v>Unidade/praça MCP/MCPI; mínimo por CT-e R$ 33.64; FRETE PESO: peso em kg × R$ 0,84104/kg (equivalente a R$ 841.04/ton).</x:v>
      </x:c>
      <x:c r="X279" t="str">
        <x:v>SIM</x:v>
      </x:c>
      <x:c r="Y279" t="str">
        <x:v>0,20%</x:v>
      </x:c>
      <x:c r="Z279" t="str">
        <x:v>NÃO</x:v>
      </x:c>
      <x:c r="AA279"/>
      <x:c r="AB279"/>
      <x:c r="AC279" t="str">
        <x:v>SIM</x:v>
      </x:c>
      <x:c r="AD279" t="str">
        <x:v>AC LOG / C VARGAS</x:v>
      </x:c>
      <x:c r="AE279" t="str">
        <x:v>FRETE_PESO</x:v>
      </x:c>
      <x:c r="AF279"/>
      <x:c r="AG279" t="str">
        <x:v>2.6.44</x:v>
      </x:c>
      <x:c r="AH279" t="str">
        <x:v>Cálculo confirmado: kg × R$ 0,84104/kg. O campo Tonelagem Mínima permanece em R$/ton para compatibilidade com o motor RC26.6.</x:v>
      </x:c>
      <x:c r="AI279" t="n">
        <x:v>841.04</x:v>
      </x:c>
    </x:row>
    <x:row r="280">
      <x:c r="A280" t="str">
        <x:v>ACV_0016</x:v>
      </x:c>
      <x:c r="B280" t="str">
        <x:v>AC_LOG_C_VARGAS</x:v>
      </x:c>
      <x:c r="C280" t="str">
        <x:v>08/10/2025</x:v>
      </x:c>
      <x:c r="D280"/>
      <x:c r="E280"/>
      <x:c r="F280"/>
      <x:c r="G280" t="str">
        <x:v>SERRA DO NAVIO</x:v>
      </x:c>
      <x:c r="H280" t="str">
        <x:v>AP</x:v>
      </x:c>
      <x:c r="I280" t="str">
        <x:v>MCP/MCPI</x:v>
      </x:c>
      <x:c r="J280" t="str">
        <x:v>Distribuição AP</x:v>
      </x:c>
      <x:c r="K280" t="str">
        <x:v>23%</x:v>
      </x:c>
      <x:c r="L280" t="n">
        <x:v>33.64</x:v>
      </x:c>
      <x:c r="M280"/>
      <x:c r="N280"/>
      <x:c r="O280"/>
      <x:c r="P280" t="str">
        <x:v>D5</x:v>
      </x:c>
      <x:c r="Q280" t="str">
        <x:v>Distribuição</x:v>
      </x:c>
      <x:c r="R280" t="str">
        <x:v>ORIGINAL</x:v>
      </x:c>
      <x:c r="S280" t="str">
        <x:v>NÃO</x:v>
      </x:c>
      <x:c r="T280" t="str">
        <x:v>REVISAR_OK</x:v>
      </x:c>
      <x:c r="U280" t="str">
        <x:v>TABELA_AC_LOG_C_VARGAS_DISTRIBUICAO_AP_2025.pdf</x:v>
      </x:c>
      <x:c r="V280" t="str">
        <x:v>1</x:v>
      </x:c>
      <x:c r="W280" t="str">
        <x:v>Unidade/praça MCP/MCPI; mínimo por CT-e R$ 33.64; FRETE PESO: peso em kg × R$ 0,84104/kg (equivalente a R$ 841.04/ton).</x:v>
      </x:c>
      <x:c r="X280" t="str">
        <x:v>SIM</x:v>
      </x:c>
      <x:c r="Y280" t="str">
        <x:v>0,20%</x:v>
      </x:c>
      <x:c r="Z280" t="str">
        <x:v>NÃO</x:v>
      </x:c>
      <x:c r="AA280"/>
      <x:c r="AB280"/>
      <x:c r="AC280" t="str">
        <x:v>SIM</x:v>
      </x:c>
      <x:c r="AD280" t="str">
        <x:v>AC LOG / C VARGAS</x:v>
      </x:c>
      <x:c r="AE280" t="str">
        <x:v>FRETE_PESO</x:v>
      </x:c>
      <x:c r="AF280"/>
      <x:c r="AG280" t="str">
        <x:v>2.6.44</x:v>
      </x:c>
      <x:c r="AH280" t="str">
        <x:v>Cálculo confirmado: kg × R$ 0,84104/kg. O campo Tonelagem Mínima permanece em R$/ton para compatibilidade com o motor RC26.6.</x:v>
      </x:c>
      <x:c r="AI280" t="n">
        <x:v>841.04</x:v>
      </x:c>
    </x:row>
    <x:row r="281">
      <x:c r="A281" t="str">
        <x:v>ACV_0017</x:v>
      </x:c>
      <x:c r="B281" t="str">
        <x:v>AC_LOG_C_VARGAS</x:v>
      </x:c>
      <x:c r="C281" t="str">
        <x:v>08/10/2025</x:v>
      </x:c>
      <x:c r="D281"/>
      <x:c r="E281"/>
      <x:c r="F281"/>
      <x:c r="G281" t="str">
        <x:v>MACAPA</x:v>
      </x:c>
      <x:c r="H281" t="str">
        <x:v>AP</x:v>
      </x:c>
      <x:c r="I281" t="str">
        <x:v>MCP/MCPP</x:v>
      </x:c>
      <x:c r="J281" t="str">
        <x:v>Distribuição AP</x:v>
      </x:c>
      <x:c r="K281" t="str">
        <x:v>20%</x:v>
      </x:c>
      <x:c r="L281" t="n">
        <x:v>28.39</x:v>
      </x:c>
      <x:c r="M281"/>
      <x:c r="N281"/>
      <x:c r="O281"/>
      <x:c r="P281" t="str">
        <x:v>D2</x:v>
      </x:c>
      <x:c r="Q281" t="str">
        <x:v>Distribuição</x:v>
      </x:c>
      <x:c r="R281" t="str">
        <x:v>ORIGINAL</x:v>
      </x:c>
      <x:c r="S281" t="str">
        <x:v>NÃO</x:v>
      </x:c>
      <x:c r="T281" t="str">
        <x:v>REVISAR_OK</x:v>
      </x:c>
      <x:c r="U281" t="str">
        <x:v>TABELA_AC_LOG_C_VARGAS_DISTRIBUICAO_AP_2025.pdf</x:v>
      </x:c>
      <x:c r="V281" t="str">
        <x:v>1</x:v>
      </x:c>
      <x:c r="W281" t="str">
        <x:v>Unidade/praça MCP/MCPP; mínimo por CT-e R$ 28.39; FRETE PESO: peso em kg × R$ 0,36796/kg (equivalente a R$ 367.96/ton).</x:v>
      </x:c>
      <x:c r="X281" t="str">
        <x:v>SIM</x:v>
      </x:c>
      <x:c r="Y281" t="str">
        <x:v>0,20%</x:v>
      </x:c>
      <x:c r="Z281" t="str">
        <x:v>NÃO</x:v>
      </x:c>
      <x:c r="AA281"/>
      <x:c r="AB281"/>
      <x:c r="AC281" t="str">
        <x:v>SIM</x:v>
      </x:c>
      <x:c r="AD281" t="str">
        <x:v>AC LOG / C VARGAS</x:v>
      </x:c>
      <x:c r="AE281" t="str">
        <x:v>FRETE_PESO</x:v>
      </x:c>
      <x:c r="AF281"/>
      <x:c r="AG281" t="str">
        <x:v>2.6.44</x:v>
      </x:c>
      <x:c r="AH281" t="str">
        <x:v>Cálculo confirmado: kg × R$ 0,36796/kg. O campo Tonelagem Mínima permanece em R$/ton para compatibilidade com o motor RC26.6.</x:v>
      </x:c>
      <x:c r="AI281" t="n">
        <x:v>367.96</x:v>
      </x:c>
    </x:row>
    <x:row r="282">
      <x:c r="A282" t="str">
        <x:v>ACV_0018</x:v>
      </x:c>
      <x:c r="B282" t="str">
        <x:v>AC_LOG_C_VARGAS</x:v>
      </x:c>
      <x:c r="C282" t="str">
        <x:v>08/10/2025</x:v>
      </x:c>
      <x:c r="D282"/>
      <x:c r="E282"/>
      <x:c r="F282"/>
      <x:c r="G282" t="str">
        <x:v>SANTANA</x:v>
      </x:c>
      <x:c r="H282" t="str">
        <x:v>AP</x:v>
      </x:c>
      <x:c r="I282" t="str">
        <x:v>MCP/MCPP</x:v>
      </x:c>
      <x:c r="J282" t="str">
        <x:v>Distribuição AP</x:v>
      </x:c>
      <x:c r="K282" t="str">
        <x:v>20%</x:v>
      </x:c>
      <x:c r="L282" t="n">
        <x:v>28.39</x:v>
      </x:c>
      <x:c r="M282"/>
      <x:c r="N282"/>
      <x:c r="O282"/>
      <x:c r="P282" t="str">
        <x:v>D2</x:v>
      </x:c>
      <x:c r="Q282" t="str">
        <x:v>Distribuição</x:v>
      </x:c>
      <x:c r="R282" t="str">
        <x:v>ORIGINAL</x:v>
      </x:c>
      <x:c r="S282" t="str">
        <x:v>NÃO</x:v>
      </x:c>
      <x:c r="T282" t="str">
        <x:v>REVISAR_OK</x:v>
      </x:c>
      <x:c r="U282" t="str">
        <x:v>TABELA_AC_LOG_C_VARGAS_DISTRIBUICAO_AP_2025.pdf</x:v>
      </x:c>
      <x:c r="V282" t="str">
        <x:v>1</x:v>
      </x:c>
      <x:c r="W282" t="str">
        <x:v>Unidade/praça MCP/MCPP; mínimo por CT-e R$ 28.39; FRETE PESO: peso em kg × R$ 0,36796/kg (equivalente a R$ 367.96/ton).</x:v>
      </x:c>
      <x:c r="X282" t="str">
        <x:v>SIM</x:v>
      </x:c>
      <x:c r="Y282" t="str">
        <x:v>0,20%</x:v>
      </x:c>
      <x:c r="Z282" t="str">
        <x:v>NÃO</x:v>
      </x:c>
      <x:c r="AA282"/>
      <x:c r="AB282"/>
      <x:c r="AC282" t="str">
        <x:v>SIM</x:v>
      </x:c>
      <x:c r="AD282" t="str">
        <x:v>AC LOG / C VARGAS</x:v>
      </x:c>
      <x:c r="AE282" t="str">
        <x:v>FRETE_PESO</x:v>
      </x:c>
      <x:c r="AF282"/>
      <x:c r="AG282" t="str">
        <x:v>2.6.44</x:v>
      </x:c>
      <x:c r="AH282" t="str">
        <x:v>Cálculo confirmado: kg × R$ 0,36796/kg. O campo Tonelagem Mínima permanece em R$/ton para compatibilidade com o motor RC26.6.</x:v>
      </x:c>
      <x:c r="AI282" t="n">
        <x:v>367.96</x:v>
      </x:c>
    </x:row>
    <x:row r="283">
      <x:c r="A283" t="str">
        <x:v>ACV_0019</x:v>
      </x:c>
      <x:c r="B283" t="str">
        <x:v>AC_LOG_C_VARGAS</x:v>
      </x:c>
      <x:c r="C283" t="str">
        <x:v>08/10/2025</x:v>
      </x:c>
      <x:c r="D283"/>
      <x:c r="E283"/>
      <x:c r="F283"/>
      <x:c r="G283" t="str">
        <x:v>OIAPOQUE</x:v>
      </x:c>
      <x:c r="H283" t="str">
        <x:v>AP</x:v>
      </x:c>
      <x:c r="I283" t="str">
        <x:v>OPQ/OPQP</x:v>
      </x:c>
      <x:c r="J283" t="str">
        <x:v>Distribuição AP</x:v>
      </x:c>
      <x:c r="K283" t="str">
        <x:v>23%</x:v>
      </x:c>
      <x:c r="L283" t="n">
        <x:v>36.8</x:v>
      </x:c>
      <x:c r="M283"/>
      <x:c r="N283"/>
      <x:c r="O283"/>
      <x:c r="P283" t="str">
        <x:v>4+2</x:v>
      </x:c>
      <x:c r="Q283" t="str">
        <x:v>Distribuição</x:v>
      </x:c>
      <x:c r="R283" t="str">
        <x:v>ORIGINAL</x:v>
      </x:c>
      <x:c r="S283" t="str">
        <x:v>NÃO</x:v>
      </x:c>
      <x:c r="T283" t="str">
        <x:v>REVISAR_OK</x:v>
      </x:c>
      <x:c r="U283" t="str">
        <x:v>TABELA_AC_LOG_C_VARGAS_DISTRIBUICAO_AP_2025.pdf</x:v>
      </x:c>
      <x:c r="V283" t="str">
        <x:v>1</x:v>
      </x:c>
      <x:c r="W283" t="str">
        <x:v>Unidade/praça OPQ/OPQP; mínimo por CT-e R$ 36.80; FRETE PESO: peso em kg × R$ 1,10387/kg (equivalente a R$ 1103.87/ton).</x:v>
      </x:c>
      <x:c r="X283" t="str">
        <x:v>SIM</x:v>
      </x:c>
      <x:c r="Y283" t="str">
        <x:v>0,20%</x:v>
      </x:c>
      <x:c r="Z283" t="str">
        <x:v>NÃO</x:v>
      </x:c>
      <x:c r="AA283"/>
      <x:c r="AB283"/>
      <x:c r="AC283" t="str">
        <x:v>SIM</x:v>
      </x:c>
      <x:c r="AD283" t="str">
        <x:v>AC LOG / C VARGAS</x:v>
      </x:c>
      <x:c r="AE283" t="str">
        <x:v>FRETE_PESO</x:v>
      </x:c>
      <x:c r="AF283"/>
      <x:c r="AG283" t="str">
        <x:v>2.6.44</x:v>
      </x:c>
      <x:c r="AH283" t="str">
        <x:v>Cálculo confirmado: kg × R$ 1,10387/kg. O campo Tonelagem Mínima permanece em R$/ton para compatibilidade com o motor RC26.6.</x:v>
      </x:c>
      <x:c r="AI283" t="n">
        <x:v>1103.87</x:v>
      </x:c>
    </x:row>
    <x:row r="284">
      <x:c r="A284" t="str">
        <x:v>MMT_0001</x:v>
      </x:c>
      <x:c r="B284" t="str">
        <x:v>M_M_TRANSPORTES</x:v>
      </x:c>
      <x:c r="C284"/>
      <x:c r="D284"/>
      <x:c r="E284"/>
      <x:c r="F284"/>
      <x:c r="G284" t="str">
        <x:v>PALESTINA DO PARA</x:v>
      </x:c>
      <x:c r="H284" t="str">
        <x:v>PA</x:v>
      </x:c>
      <x:c r="I284" t="str">
        <x:v>ROTA1_MARABA_PA</x:v>
      </x:c>
      <x:c r="J284" t="str">
        <x:v>Distribuição / Região do Bico</x:v>
      </x:c>
      <x:c r="K284" t="str">
        <x:v>35%</x:v>
      </x:c>
      <x:c r="L284" t="n">
        <x:v>70</x:v>
      </x:c>
      <x:c r="M284"/>
      <x:c r="N284"/>
      <x:c r="O284"/>
      <x:c r="P284" t="str">
        <x:v>D+1</x:v>
      </x:c>
      <x:c r="Q284" t="str">
        <x:v>Saídas de terça a sábado</x:v>
      </x:c>
      <x:c r="R284" t="str">
        <x:v>ORIGINAL</x:v>
      </x:c>
      <x:c r="S284" t="str">
        <x:v>NÃO</x:v>
      </x:c>
      <x:c r="T284" t="str">
        <x:v>REVISAR_OK</x:v>
      </x:c>
      <x:c r="U284" t="str">
        <x:v>TABELA_M_E_M_TRANSPORTES_ROTA1_2026.pdf</x:v>
      </x:c>
      <x:c r="V284" t="str">
        <x:v>1</x:v>
      </x:c>
      <x:c r="W284" t="str">
        <x:v>PALESTINA DO PARA: 35% sobre o frete original, respeitando o mínimo de R$ 70,00. Origem operacional Marabá/PA; prazo D+1; saídas de terça a sábado.</x:v>
      </x:c>
      <x:c r="X284" t="str">
        <x:v>NÃO</x:v>
      </x:c>
      <x:c r="Y284"/>
      <x:c r="Z284" t="str">
        <x:v>NÃO</x:v>
      </x:c>
      <x:c r="AA284"/>
      <x:c r="AB284"/>
      <x:c r="AC284" t="str">
        <x:v>SIM</x:v>
      </x:c>
      <x:c r="AD284" t="str">
        <x:v>M E M TRANSPORTES LTDA</x:v>
      </x:c>
      <x:c r="AE284" t="str">
        <x:v>PERCENTUAL</x:v>
      </x:c>
      <x:c r="AF284"/>
      <x:c r="AG284" t="str">
        <x:v>2.6.44</x:v>
      </x:c>
      <x:c r="AH284" t="str">
        <x:v>Cálculo: MAX(frete original × 35%, R$ 70,00). A origem da regra fica livre porque o XML subcontratado mantém a origem fiscal interestadual do CT-e original.</x:v>
      </x:c>
      <x:c r="AI284"/>
    </x:row>
    <x:row r="285">
      <x:c r="A285" t="str">
        <x:v>MMT_0002</x:v>
      </x:c>
      <x:c r="B285" t="str">
        <x:v>M_M_TRANSPORTES</x:v>
      </x:c>
      <x:c r="C285"/>
      <x:c r="D285"/>
      <x:c r="E285"/>
      <x:c r="F285"/>
      <x:c r="G285" t="str">
        <x:v>VILA SORORO</x:v>
      </x:c>
      <x:c r="H285" t="str">
        <x:v>PA</x:v>
      </x:c>
      <x:c r="I285" t="str">
        <x:v>ROTA1_MARABA_PA</x:v>
      </x:c>
      <x:c r="J285" t="str">
        <x:v>Distribuição / Região do Bico</x:v>
      </x:c>
      <x:c r="K285" t="str">
        <x:v>35%</x:v>
      </x:c>
      <x:c r="L285" t="n">
        <x:v>70</x:v>
      </x:c>
      <x:c r="M285"/>
      <x:c r="N285"/>
      <x:c r="O285"/>
      <x:c r="P285" t="str">
        <x:v>D+1</x:v>
      </x:c>
      <x:c r="Q285" t="str">
        <x:v>Saídas de terça a sábado</x:v>
      </x:c>
      <x:c r="R285" t="str">
        <x:v>ORIGINAL</x:v>
      </x:c>
      <x:c r="S285" t="str">
        <x:v>NÃO</x:v>
      </x:c>
      <x:c r="T285" t="str">
        <x:v>REVISAR_OK</x:v>
      </x:c>
      <x:c r="U285" t="str">
        <x:v>TABELA_M_E_M_TRANSPORTES_ROTA1_2026.pdf</x:v>
      </x:c>
      <x:c r="V285" t="str">
        <x:v>1</x:v>
      </x:c>
      <x:c r="W285" t="str">
        <x:v>VILA SORORO: 35% sobre o frete original, respeitando o mínimo de R$ 70,00. Origem operacional Marabá/PA; prazo D+1; saídas de terça a sábado.</x:v>
      </x:c>
      <x:c r="X285" t="str">
        <x:v>NÃO</x:v>
      </x:c>
      <x:c r="Y285"/>
      <x:c r="Z285" t="str">
        <x:v>NÃO</x:v>
      </x:c>
      <x:c r="AA285"/>
      <x:c r="AB285"/>
      <x:c r="AC285" t="str">
        <x:v>SIM</x:v>
      </x:c>
      <x:c r="AD285" t="str">
        <x:v>M E M TRANSPORTES LTDA</x:v>
      </x:c>
      <x:c r="AE285" t="str">
        <x:v>PERCENTUAL</x:v>
      </x:c>
      <x:c r="AF285"/>
      <x:c r="AG285" t="str">
        <x:v>2.6.44</x:v>
      </x:c>
      <x:c r="AH285" t="str">
        <x:v>Cálculo: MAX(frete original × 35%, R$ 70,00). A origem da regra fica livre porque o XML subcontratado mantém a origem fiscal interestadual do CT-e original.</x:v>
      </x:c>
      <x:c r="AI285"/>
    </x:row>
    <x:row r="286">
      <x:c r="A286" t="str">
        <x:v>MMT_0003</x:v>
      </x:c>
      <x:c r="B286" t="str">
        <x:v>M_M_TRANSPORTES</x:v>
      </x:c>
      <x:c r="C286"/>
      <x:c r="D286"/>
      <x:c r="E286"/>
      <x:c r="F286"/>
      <x:c r="G286" t="str">
        <x:v>BREJO GRANDE DO ARAGUAIA</x:v>
      </x:c>
      <x:c r="H286" t="str">
        <x:v>PA</x:v>
      </x:c>
      <x:c r="I286" t="str">
        <x:v>ROTA1_MARABA_PA</x:v>
      </x:c>
      <x:c r="J286" t="str">
        <x:v>Distribuição / Região do Bico</x:v>
      </x:c>
      <x:c r="K286" t="str">
        <x:v>35%</x:v>
      </x:c>
      <x:c r="L286" t="n">
        <x:v>70</x:v>
      </x:c>
      <x:c r="M286"/>
      <x:c r="N286"/>
      <x:c r="O286"/>
      <x:c r="P286" t="str">
        <x:v>D+1</x:v>
      </x:c>
      <x:c r="Q286" t="str">
        <x:v>Saídas de terça a sábado</x:v>
      </x:c>
      <x:c r="R286" t="str">
        <x:v>ORIGINAL</x:v>
      </x:c>
      <x:c r="S286" t="str">
        <x:v>NÃO</x:v>
      </x:c>
      <x:c r="T286" t="str">
        <x:v>REVISAR_OK</x:v>
      </x:c>
      <x:c r="U286" t="str">
        <x:v>TABELA_M_E_M_TRANSPORTES_ROTA1_2026.pdf</x:v>
      </x:c>
      <x:c r="V286" t="str">
        <x:v>1</x:v>
      </x:c>
      <x:c r="W286" t="str">
        <x:v>BREJO GRANDE DO ARAGUAIA: 35% sobre o frete original, respeitando o mínimo de R$ 70,00. Origem operacional Marabá/PA; prazo D+1; saídas de terça a sábado.</x:v>
      </x:c>
      <x:c r="X286" t="str">
        <x:v>NÃO</x:v>
      </x:c>
      <x:c r="Y286"/>
      <x:c r="Z286" t="str">
        <x:v>NÃO</x:v>
      </x:c>
      <x:c r="AA286"/>
      <x:c r="AB286"/>
      <x:c r="AC286" t="str">
        <x:v>SIM</x:v>
      </x:c>
      <x:c r="AD286" t="str">
        <x:v>M E M TRANSPORTES LTDA</x:v>
      </x:c>
      <x:c r="AE286" t="str">
        <x:v>PERCENTUAL</x:v>
      </x:c>
      <x:c r="AF286"/>
      <x:c r="AG286" t="str">
        <x:v>2.6.44</x:v>
      </x:c>
      <x:c r="AH286" t="str">
        <x:v>Cálculo: MAX(frete original × 35%, R$ 70,00). A origem da regra fica livre porque o XML subcontratado mantém a origem fiscal interestadual do CT-e original.</x:v>
      </x:c>
      <x:c r="AI286"/>
    </x:row>
    <x:row r="287">
      <x:c r="A287" t="str">
        <x:v>MMT_0004</x:v>
      </x:c>
      <x:c r="B287" t="str">
        <x:v>M_M_TRANSPORTES</x:v>
      </x:c>
      <x:c r="C287"/>
      <x:c r="D287"/>
      <x:c r="E287"/>
      <x:c r="F287"/>
      <x:c r="G287" t="str">
        <x:v>ELDORADO DO CARAJAS</x:v>
      </x:c>
      <x:c r="H287" t="str">
        <x:v>PA</x:v>
      </x:c>
      <x:c r="I287" t="str">
        <x:v>ROTA1_MARABA_PA</x:v>
      </x:c>
      <x:c r="J287" t="str">
        <x:v>Distribuição / Região do Bico</x:v>
      </x:c>
      <x:c r="K287" t="str">
        <x:v>35%</x:v>
      </x:c>
      <x:c r="L287" t="n">
        <x:v>70</x:v>
      </x:c>
      <x:c r="M287"/>
      <x:c r="N287"/>
      <x:c r="O287"/>
      <x:c r="P287" t="str">
        <x:v>D+1</x:v>
      </x:c>
      <x:c r="Q287" t="str">
        <x:v>Saídas de terça a sábado</x:v>
      </x:c>
      <x:c r="R287" t="str">
        <x:v>ORIGINAL</x:v>
      </x:c>
      <x:c r="S287" t="str">
        <x:v>NÃO</x:v>
      </x:c>
      <x:c r="T287" t="str">
        <x:v>REVISAR_OK</x:v>
      </x:c>
      <x:c r="U287" t="str">
        <x:v>TABELA_M_E_M_TRANSPORTES_ROTA1_2026.pdf</x:v>
      </x:c>
      <x:c r="V287" t="str">
        <x:v>1</x:v>
      </x:c>
      <x:c r="W287" t="str">
        <x:v>ELDORADO DO CARAJAS: 35% sobre o frete original, respeitando o mínimo de R$ 70,00. Origem operacional Marabá/PA; prazo D+1; saídas de terça a sábado.</x:v>
      </x:c>
      <x:c r="X287" t="str">
        <x:v>NÃO</x:v>
      </x:c>
      <x:c r="Y287"/>
      <x:c r="Z287" t="str">
        <x:v>NÃO</x:v>
      </x:c>
      <x:c r="AA287"/>
      <x:c r="AB287"/>
      <x:c r="AC287" t="str">
        <x:v>SIM</x:v>
      </x:c>
      <x:c r="AD287" t="str">
        <x:v>M E M TRANSPORTES LTDA</x:v>
      </x:c>
      <x:c r="AE287" t="str">
        <x:v>PERCENTUAL</x:v>
      </x:c>
      <x:c r="AF287"/>
      <x:c r="AG287" t="str">
        <x:v>2.6.44</x:v>
      </x:c>
      <x:c r="AH287" t="str">
        <x:v>Cálculo: MAX(frete original × 35%, R$ 70,00). A origem da regra fica livre porque o XML subcontratado mantém a origem fiscal interestadual do CT-e original.</x:v>
      </x:c>
      <x:c r="AI287"/>
    </x:row>
    <x:row r="288">
      <x:c r="A288" t="str">
        <x:v>MMT_0005</x:v>
      </x:c>
      <x:c r="B288" t="str">
        <x:v>M_M_TRANSPORTES</x:v>
      </x:c>
      <x:c r="C288"/>
      <x:c r="D288"/>
      <x:c r="E288"/>
      <x:c r="F288"/>
      <x:c r="G288" t="str">
        <x:v>SAO DOMINGOS DO ARAGUAIA</x:v>
      </x:c>
      <x:c r="H288" t="str">
        <x:v>PA</x:v>
      </x:c>
      <x:c r="I288" t="str">
        <x:v>ROTA1_MARABA_PA</x:v>
      </x:c>
      <x:c r="J288" t="str">
        <x:v>Distribuição / Região do Bico</x:v>
      </x:c>
      <x:c r="K288" t="str">
        <x:v>35%</x:v>
      </x:c>
      <x:c r="L288" t="n">
        <x:v>70</x:v>
      </x:c>
      <x:c r="M288"/>
      <x:c r="N288"/>
      <x:c r="O288"/>
      <x:c r="P288" t="str">
        <x:v>D+1</x:v>
      </x:c>
      <x:c r="Q288" t="str">
        <x:v>Saídas de terça a sábado</x:v>
      </x:c>
      <x:c r="R288" t="str">
        <x:v>ORIGINAL</x:v>
      </x:c>
      <x:c r="S288" t="str">
        <x:v>NÃO</x:v>
      </x:c>
      <x:c r="T288" t="str">
        <x:v>REVISAR_OK</x:v>
      </x:c>
      <x:c r="U288" t="str">
        <x:v>TABELA_M_E_M_TRANSPORTES_ROTA1_2026.pdf</x:v>
      </x:c>
      <x:c r="V288" t="str">
        <x:v>1</x:v>
      </x:c>
      <x:c r="W288" t="str">
        <x:v>SAO DOMINGOS DO ARAGUAIA: 35% sobre o frete original, respeitando o mínimo de R$ 70,00. Origem operacional Marabá/PA; prazo D+1; saídas de terça a sábado.</x:v>
      </x:c>
      <x:c r="X288" t="str">
        <x:v>NÃO</x:v>
      </x:c>
      <x:c r="Y288"/>
      <x:c r="Z288" t="str">
        <x:v>NÃO</x:v>
      </x:c>
      <x:c r="AA288"/>
      <x:c r="AB288"/>
      <x:c r="AC288" t="str">
        <x:v>SIM</x:v>
      </x:c>
      <x:c r="AD288" t="str">
        <x:v>M E M TRANSPORTES LTDA</x:v>
      </x:c>
      <x:c r="AE288" t="str">
        <x:v>PERCENTUAL</x:v>
      </x:c>
      <x:c r="AF288"/>
      <x:c r="AG288" t="str">
        <x:v>2.6.44</x:v>
      </x:c>
      <x:c r="AH288" t="str">
        <x:v>Cálculo: MAX(frete original × 35%, R$ 70,00). A origem da regra fica livre porque o XML subcontratado mantém a origem fiscal interestadual do CT-e original.</x:v>
      </x:c>
      <x:c r="AI288"/>
    </x:row>
    <x:row r="289">
      <x:c r="A289" t="str">
        <x:v>MMT_0006</x:v>
      </x:c>
      <x:c r="B289" t="str">
        <x:v>M_M_TRANSPORTES</x:v>
      </x:c>
      <x:c r="C289"/>
      <x:c r="D289"/>
      <x:c r="E289"/>
      <x:c r="F289"/>
      <x:c r="G289" t="str">
        <x:v>CURIONOPOLIS</x:v>
      </x:c>
      <x:c r="H289" t="str">
        <x:v>PA</x:v>
      </x:c>
      <x:c r="I289" t="str">
        <x:v>ROTA1_MARABA_PA</x:v>
      </x:c>
      <x:c r="J289" t="str">
        <x:v>Distribuição / Região do Bico</x:v>
      </x:c>
      <x:c r="K289" t="str">
        <x:v>35%</x:v>
      </x:c>
      <x:c r="L289" t="n">
        <x:v>70</x:v>
      </x:c>
      <x:c r="M289"/>
      <x:c r="N289"/>
      <x:c r="O289"/>
      <x:c r="P289" t="str">
        <x:v>D+1</x:v>
      </x:c>
      <x:c r="Q289" t="str">
        <x:v>Saídas de terça a sábado</x:v>
      </x:c>
      <x:c r="R289" t="str">
        <x:v>ORIGINAL</x:v>
      </x:c>
      <x:c r="S289" t="str">
        <x:v>NÃO</x:v>
      </x:c>
      <x:c r="T289" t="str">
        <x:v>REVISAR_OK</x:v>
      </x:c>
      <x:c r="U289" t="str">
        <x:v>TABELA_M_E_M_TRANSPORTES_ROTA1_2026.pdf</x:v>
      </x:c>
      <x:c r="V289" t="str">
        <x:v>1</x:v>
      </x:c>
      <x:c r="W289" t="str">
        <x:v>CURIONOPOLIS: 35% sobre o frete original, respeitando o mínimo de R$ 70,00. Origem operacional Marabá/PA; prazo D+1; saídas de terça a sábado.</x:v>
      </x:c>
      <x:c r="X289" t="str">
        <x:v>NÃO</x:v>
      </x:c>
      <x:c r="Y289"/>
      <x:c r="Z289" t="str">
        <x:v>NÃO</x:v>
      </x:c>
      <x:c r="AA289"/>
      <x:c r="AB289"/>
      <x:c r="AC289" t="str">
        <x:v>SIM</x:v>
      </x:c>
      <x:c r="AD289" t="str">
        <x:v>M E M TRANSPORTES LTDA</x:v>
      </x:c>
      <x:c r="AE289" t="str">
        <x:v>PERCENTUAL</x:v>
      </x:c>
      <x:c r="AF289"/>
      <x:c r="AG289" t="str">
        <x:v>2.6.44</x:v>
      </x:c>
      <x:c r="AH289" t="str">
        <x:v>Cálculo: MAX(frete original × 35%, R$ 70,00). A origem da regra fica livre porque o XML subcontratado mantém a origem fiscal interestadual do CT-e original.</x:v>
      </x:c>
      <x:c r="AI289"/>
    </x:row>
    <x:row r="290">
      <x:c r="A290" t="str">
        <x:v>MMT_0007</x:v>
      </x:c>
      <x:c r="B290" t="str">
        <x:v>M_M_TRANSPORTES</x:v>
      </x:c>
      <x:c r="C290"/>
      <x:c r="D290"/>
      <x:c r="E290"/>
      <x:c r="F290"/>
      <x:c r="G290" t="str">
        <x:v>SAO GERALDO DO ARAGUAIA</x:v>
      </x:c>
      <x:c r="H290" t="str">
        <x:v>PA</x:v>
      </x:c>
      <x:c r="I290" t="str">
        <x:v>ROTA1_MARABA_PA</x:v>
      </x:c>
      <x:c r="J290" t="str">
        <x:v>Distribuição / Região do Bico</x:v>
      </x:c>
      <x:c r="K290" t="str">
        <x:v>35%</x:v>
      </x:c>
      <x:c r="L290" t="n">
        <x:v>70</x:v>
      </x:c>
      <x:c r="M290"/>
      <x:c r="N290"/>
      <x:c r="O290"/>
      <x:c r="P290" t="str">
        <x:v>D+1</x:v>
      </x:c>
      <x:c r="Q290" t="str">
        <x:v>Saídas de terça a sábado</x:v>
      </x:c>
      <x:c r="R290" t="str">
        <x:v>ORIGINAL</x:v>
      </x:c>
      <x:c r="S290" t="str">
        <x:v>NÃO</x:v>
      </x:c>
      <x:c r="T290" t="str">
        <x:v>REVISAR_OK</x:v>
      </x:c>
      <x:c r="U290" t="str">
        <x:v>TABELA_M_E_M_TRANSPORTES_ROTA1_2026.pdf</x:v>
      </x:c>
      <x:c r="V290" t="str">
        <x:v>1</x:v>
      </x:c>
      <x:c r="W290" t="str">
        <x:v>SAO GERALDO DO ARAGUAIA: 35% sobre o frete original, respeitando o mínimo de R$ 70,00. Origem operacional Marabá/PA; prazo D+1; saídas de terça a sábado.</x:v>
      </x:c>
      <x:c r="X290" t="str">
        <x:v>NÃO</x:v>
      </x:c>
      <x:c r="Y290"/>
      <x:c r="Z290" t="str">
        <x:v>NÃO</x:v>
      </x:c>
      <x:c r="AA290"/>
      <x:c r="AB290"/>
      <x:c r="AC290" t="str">
        <x:v>SIM</x:v>
      </x:c>
      <x:c r="AD290" t="str">
        <x:v>M E M TRANSPORTES LTDA</x:v>
      </x:c>
      <x:c r="AE290" t="str">
        <x:v>PERCENTUAL</x:v>
      </x:c>
      <x:c r="AF290"/>
      <x:c r="AG290" t="str">
        <x:v>2.6.44</x:v>
      </x:c>
      <x:c r="AH290" t="str">
        <x:v>Cálculo: MAX(frete original × 35%, R$ 70,00). A origem da regra fica livre porque o XML subcontratado mantém a origem fiscal interestadual do CT-e original.</x:v>
      </x:c>
      <x:c r="AI290"/>
    </x:row>
    <x:row r="291">
      <x:c r="A291" t="str">
        <x:v>MMT_0008</x:v>
      </x:c>
      <x:c r="B291" t="str">
        <x:v>M_M_TRANSPORTES</x:v>
      </x:c>
      <x:c r="C291"/>
      <x:c r="D291"/>
      <x:c r="E291"/>
      <x:c r="F291"/>
      <x:c r="G291" t="str">
        <x:v>PARAUAPEBAS</x:v>
      </x:c>
      <x:c r="H291" t="str">
        <x:v>PA</x:v>
      </x:c>
      <x:c r="I291" t="str">
        <x:v>ROTA1_MARABA_PA</x:v>
      </x:c>
      <x:c r="J291" t="str">
        <x:v>Distribuição / Região do Bico</x:v>
      </x:c>
      <x:c r="K291" t="str">
        <x:v>35%</x:v>
      </x:c>
      <x:c r="L291" t="n">
        <x:v>70</x:v>
      </x:c>
      <x:c r="M291"/>
      <x:c r="N291"/>
      <x:c r="O291"/>
      <x:c r="P291" t="str">
        <x:v>D+1</x:v>
      </x:c>
      <x:c r="Q291" t="str">
        <x:v>Saídas de terça a sábado</x:v>
      </x:c>
      <x:c r="R291" t="str">
        <x:v>ORIGINAL</x:v>
      </x:c>
      <x:c r="S291" t="str">
        <x:v>NÃO</x:v>
      </x:c>
      <x:c r="T291" t="str">
        <x:v>REVISAR_OK</x:v>
      </x:c>
      <x:c r="U291" t="str">
        <x:v>TABELA_M_E_M_TRANSPORTES_ROTA1_2026.pdf</x:v>
      </x:c>
      <x:c r="V291" t="str">
        <x:v>1</x:v>
      </x:c>
      <x:c r="W291" t="str">
        <x:v>PARAUAPEBAS: 35% sobre o frete original, respeitando o mínimo de R$ 70,00. Origem operacional Marabá/PA; prazo D+1; saídas de terça a sábado.</x:v>
      </x:c>
      <x:c r="X291" t="str">
        <x:v>NÃO</x:v>
      </x:c>
      <x:c r="Y291"/>
      <x:c r="Z291" t="str">
        <x:v>NÃO</x:v>
      </x:c>
      <x:c r="AA291"/>
      <x:c r="AB291"/>
      <x:c r="AC291" t="str">
        <x:v>SIM</x:v>
      </x:c>
      <x:c r="AD291" t="str">
        <x:v>M E M TRANSPORTES LTDA</x:v>
      </x:c>
      <x:c r="AE291" t="str">
        <x:v>PERCENTUAL</x:v>
      </x:c>
      <x:c r="AF291"/>
      <x:c r="AG291" t="str">
        <x:v>2.6.44</x:v>
      </x:c>
      <x:c r="AH291" t="str">
        <x:v>Cálculo: MAX(frete original × 35%, R$ 70,00). A origem da regra fica livre porque o XML subcontratado mantém a origem fiscal interestadual do CT-e original.</x:v>
      </x:c>
      <x:c r="AI291"/>
    </x:row>
    <x:row r="292">
      <x:c r="A292" t="str">
        <x:v>MMT_0009</x:v>
      </x:c>
      <x:c r="B292" t="str">
        <x:v>M_M_TRANSPORTES</x:v>
      </x:c>
      <x:c r="C292"/>
      <x:c r="D292"/>
      <x:c r="E292"/>
      <x:c r="F292"/>
      <x:c r="G292" t="str">
        <x:v>PICARRA</x:v>
      </x:c>
      <x:c r="H292" t="str">
        <x:v>PA</x:v>
      </x:c>
      <x:c r="I292" t="str">
        <x:v>ROTA1_MARABA_PA</x:v>
      </x:c>
      <x:c r="J292" t="str">
        <x:v>Distribuição / Região do Bico</x:v>
      </x:c>
      <x:c r="K292" t="str">
        <x:v>35%</x:v>
      </x:c>
      <x:c r="L292" t="n">
        <x:v>70</x:v>
      </x:c>
      <x:c r="M292"/>
      <x:c r="N292"/>
      <x:c r="O292"/>
      <x:c r="P292" t="str">
        <x:v>D+1</x:v>
      </x:c>
      <x:c r="Q292" t="str">
        <x:v>Saídas de terça a sábado</x:v>
      </x:c>
      <x:c r="R292" t="str">
        <x:v>ORIGINAL</x:v>
      </x:c>
      <x:c r="S292" t="str">
        <x:v>NÃO</x:v>
      </x:c>
      <x:c r="T292" t="str">
        <x:v>REVISAR_OK</x:v>
      </x:c>
      <x:c r="U292" t="str">
        <x:v>TABELA_M_E_M_TRANSPORTES_ROTA1_2026.pdf</x:v>
      </x:c>
      <x:c r="V292" t="str">
        <x:v>1</x:v>
      </x:c>
      <x:c r="W292" t="str">
        <x:v>PICARRA: 35% sobre o frete original, respeitando o mínimo de R$ 70,00. Origem operacional Marabá/PA; prazo D+1; saídas de terça a sábado.</x:v>
      </x:c>
      <x:c r="X292" t="str">
        <x:v>NÃO</x:v>
      </x:c>
      <x:c r="Y292"/>
      <x:c r="Z292" t="str">
        <x:v>NÃO</x:v>
      </x:c>
      <x:c r="AA292"/>
      <x:c r="AB292"/>
      <x:c r="AC292" t="str">
        <x:v>SIM</x:v>
      </x:c>
      <x:c r="AD292" t="str">
        <x:v>M E M TRANSPORTES LTDA</x:v>
      </x:c>
      <x:c r="AE292" t="str">
        <x:v>PERCENTUAL</x:v>
      </x:c>
      <x:c r="AF292"/>
      <x:c r="AG292" t="str">
        <x:v>2.6.44</x:v>
      </x:c>
      <x:c r="AH292" t="str">
        <x:v>Cálculo: MAX(frete original × 35%, R$ 70,00). A origem da regra fica livre porque o XML subcontratado mantém a origem fiscal interestadual do CT-e original.</x:v>
      </x:c>
      <x:c r="AI292"/>
    </x:row>
    <x:row r="293">
      <x:c r="A293" t="str">
        <x:v>MMT_0010</x:v>
      </x:c>
      <x:c r="B293" t="str">
        <x:v>M_M_TRANSPORTES</x:v>
      </x:c>
      <x:c r="C293"/>
      <x:c r="D293"/>
      <x:c r="E293"/>
      <x:c r="F293"/>
      <x:c r="G293" t="str">
        <x:v>CANAA DOS CARAJAS</x:v>
      </x:c>
      <x:c r="H293" t="str">
        <x:v>PA</x:v>
      </x:c>
      <x:c r="I293" t="str">
        <x:v>ROTA1_MARABA_PA</x:v>
      </x:c>
      <x:c r="J293" t="str">
        <x:v>Distribuição / Região do Bico</x:v>
      </x:c>
      <x:c r="K293" t="str">
        <x:v>35%</x:v>
      </x:c>
      <x:c r="L293" t="n">
        <x:v>70</x:v>
      </x:c>
      <x:c r="M293"/>
      <x:c r="N293"/>
      <x:c r="O293"/>
      <x:c r="P293" t="str">
        <x:v>D+1</x:v>
      </x:c>
      <x:c r="Q293" t="str">
        <x:v>Saídas de terça a sábado</x:v>
      </x:c>
      <x:c r="R293" t="str">
        <x:v>ORIGINAL</x:v>
      </x:c>
      <x:c r="S293" t="str">
        <x:v>NÃO</x:v>
      </x:c>
      <x:c r="T293" t="str">
        <x:v>REVISAR_OK</x:v>
      </x:c>
      <x:c r="U293" t="str">
        <x:v>TABELA_M_E_M_TRANSPORTES_ROTA1_2026.pdf</x:v>
      </x:c>
      <x:c r="V293" t="str">
        <x:v>1</x:v>
      </x:c>
      <x:c r="W293" t="str">
        <x:v>CANAA DOS CARAJAS: 35% sobre o frete original, respeitando o mínimo de R$ 70,00. Origem operacional Marabá/PA; prazo D+1; saídas de terça a sábado.</x:v>
      </x:c>
      <x:c r="X293" t="str">
        <x:v>NÃO</x:v>
      </x:c>
      <x:c r="Y293"/>
      <x:c r="Z293" t="str">
        <x:v>NÃO</x:v>
      </x:c>
      <x:c r="AA293"/>
      <x:c r="AB293"/>
      <x:c r="AC293" t="str">
        <x:v>SIM</x:v>
      </x:c>
      <x:c r="AD293" t="str">
        <x:v>M E M TRANSPORTES LTDA</x:v>
      </x:c>
      <x:c r="AE293" t="str">
        <x:v>PERCENTUAL</x:v>
      </x:c>
      <x:c r="AF293"/>
      <x:c r="AG293" t="str">
        <x:v>2.6.44</x:v>
      </x:c>
      <x:c r="AH293" t="str">
        <x:v>Cálculo: MAX(frete original × 35%, R$ 70,00). A origem da regra fica livre porque o XML subcontratado mantém a origem fiscal interestadual do CT-e original.</x:v>
      </x:c>
      <x:c r="AI293"/>
    </x:row>
    <x:row r="294">
      <x:c r="A294" t="str">
        <x:v>MMT_0011</x:v>
      </x:c>
      <x:c r="B294" t="str">
        <x:v>M_M_TRANSPORTES</x:v>
      </x:c>
      <x:c r="C294"/>
      <x:c r="D294"/>
      <x:c r="E294"/>
      <x:c r="F294"/>
      <x:c r="G294" t="str">
        <x:v>SAO JOAO DO ARAGUAIA</x:v>
      </x:c>
      <x:c r="H294" t="str">
        <x:v>PA</x:v>
      </x:c>
      <x:c r="I294" t="str">
        <x:v>ROTA1_MARABA_PA</x:v>
      </x:c>
      <x:c r="J294" t="str">
        <x:v>Distribuição / Região do Bico</x:v>
      </x:c>
      <x:c r="K294" t="str">
        <x:v>35%</x:v>
      </x:c>
      <x:c r="L294" t="n">
        <x:v>70</x:v>
      </x:c>
      <x:c r="M294"/>
      <x:c r="N294"/>
      <x:c r="O294"/>
      <x:c r="P294" t="str">
        <x:v>D+1</x:v>
      </x:c>
      <x:c r="Q294" t="str">
        <x:v>Saídas de terça a sábado</x:v>
      </x:c>
      <x:c r="R294" t="str">
        <x:v>ORIGINAL</x:v>
      </x:c>
      <x:c r="S294" t="str">
        <x:v>NÃO</x:v>
      </x:c>
      <x:c r="T294" t="str">
        <x:v>REVISAR_OK</x:v>
      </x:c>
      <x:c r="U294" t="str">
        <x:v>TABELA_M_E_M_TRANSPORTES_ROTA1_2026.pdf</x:v>
      </x:c>
      <x:c r="V294" t="str">
        <x:v>1</x:v>
      </x:c>
      <x:c r="W294" t="str">
        <x:v>SAO JOAO DO ARAGUAIA: 35% sobre o frete original, respeitando o mínimo de R$ 70,00. Origem operacional Marabá/PA; prazo D+1; saídas de terça a sábado.</x:v>
      </x:c>
      <x:c r="X294" t="str">
        <x:v>NÃO</x:v>
      </x:c>
      <x:c r="Y294"/>
      <x:c r="Z294" t="str">
        <x:v>NÃO</x:v>
      </x:c>
      <x:c r="AA294"/>
      <x:c r="AB294"/>
      <x:c r="AC294" t="str">
        <x:v>SIM</x:v>
      </x:c>
      <x:c r="AD294" t="str">
        <x:v>M E M TRANSPORTES LTDA</x:v>
      </x:c>
      <x:c r="AE294" t="str">
        <x:v>PERCENTUAL</x:v>
      </x:c>
      <x:c r="AF294"/>
      <x:c r="AG294" t="str">
        <x:v>2.6.44</x:v>
      </x:c>
      <x:c r="AH294" t="str">
        <x:v>Cálculo: MAX(frete original × 35%, R$ 70,00). A origem da regra fica livre porque o XML subcontratado mantém a origem fiscal interestadual do CT-e original.</x:v>
      </x:c>
      <x:c r="AI294"/>
    </x:row>
  </x:sheetData>
  <x:conditionalFormatting sqref="T2:T192">
    <x:cfRule type="expression" dxfId="0" priority="1">
      <x:formula>T2="PENDENTE_TRANSCRICAO"</x:formula>
    </x:cfRule>
    <x:cfRule type="expression" dxfId="1" priority="2">
      <x:formula>T2="REVISAR_OK"</x:formula>
    </x:cfRule>
  </x:conditionalFormatting>
  <x:dataValidations count="3">
    <x:dataValidation type="list" sqref="R2:R192">
      <x:formula1>"ORIGINAL,ORIGINAL_SEM_ICMS,ORIGINAL_COM_ICMS,ORIGINAL+COMPLEMENTAR,COMPLEMENTAR,MERCADORIA,MANUAL,CUBAGEM,PALETE,PESO"</x:formula1>
    </x:dataValidation>
    <x:dataValidation type="list" sqref="S2:S192">
      <x:formula1>"SIM,NÃO,SOMENTE_SE_REGRA_EXTRA"</x:formula1>
    </x:dataValidation>
    <x:dataValidation type="list" sqref="T2:T192">
      <x:formula1>"REVISAR_OK,PENDENTE_TRANSCRICAO,CONFERIR_VALOR,INATIVO"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d50597f79345d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8" hidden="0" customWidth="1"/>
    <x:col min="4" max="4" width="55" hidden="0" customWidth="1"/>
    <x:col min="5" max="5" width="13" hidden="0" customWidth="1"/>
    <x:col min="6" max="6" width="13" hidden="0" customWidth="1"/>
    <x:col min="7" max="7" width="18" hidden="0" customWidth="1"/>
    <x:col min="8" max="8" width="25" hidden="0" customWidth="1"/>
    <x:col min="9" max="9" width="18" hidden="0" customWidth="1"/>
    <x:col min="10" max="10" width="30" hidden="0" customWidth="1"/>
    <x:col min="11" max="11" width="8" hidden="0" customWidth="1"/>
    <x:col min="12" max="12" width="42" hidden="0" customWidth="1"/>
  </x:cols>
  <x:sheetData>
    <x:row r="1" ht="30" customHeight="1">
      <x:c r="A1" s="6" t="str">
        <x:v>Extra ID</x:v>
      </x:c>
      <x:c r="B1" s="6" t="str">
        <x:v>Parceiro ID</x:v>
      </x:c>
      <x:c r="C1" s="6" t="str">
        <x:v>Tipo Extra</x:v>
      </x:c>
      <x:c r="D1" s="6" t="str">
        <x:v>Regra / Descrição</x:v>
      </x:c>
      <x:c r="E1" s="6" t="str">
        <x:v>Valor</x:v>
      </x:c>
      <x:c r="F1" s="6" t="str">
        <x:v>Percentual</x:v>
      </x:c>
      <x:c r="G1" s="6" t="str">
        <x:v>Base Cálculo</x:v>
      </x:c>
      <x:c r="H1" s="6" t="str">
        <x:v>Condição</x:v>
      </x:c>
      <x:c r="I1" s="6" t="str">
        <x:v>Status Revisão</x:v>
      </x:c>
      <x:c r="J1" s="6" t="str">
        <x:v>Fonte PDF</x:v>
      </x:c>
      <x:c r="K1" s="6" t="str">
        <x:v>Página</x:v>
      </x:c>
      <x:c r="L1" s="6" t="str">
        <x:v>Observação</x:v>
      </x:c>
    </x:row>
    <x:row r="2">
      <x:c r="A2" s="14" t="str">
        <x:v>EXTRA_0001</x:v>
      </x:c>
      <x:c r="B2" s="14" t="str">
        <x:v>MB_AMAZONIA</x:v>
      </x:c>
      <x:c r="C2" s="14" t="str">
        <x:v>REENTREGA/DEVOLUÇÃO</x:v>
      </x:c>
      <x:c r="D2" s="14" t="str">
        <x:v>Negociar previamente junto ao cliente, formalizado via e-mail</x:v>
      </x:c>
      <x:c r="E2" s="46"/>
      <x:c r="F2" s="14"/>
      <x:c r="G2" s="14"/>
      <x:c r="H2" s="14"/>
      <x:c r="I2" s="14" t="str">
        <x:v>REVISAR_OK</x:v>
      </x:c>
      <x:c r="J2" s="14" t="str">
        <x:v>doc20621120260704143158.pdf</x:v>
      </x:c>
      <x:c r="K2" s="14" t="str">
        <x:v>2</x:v>
      </x:c>
      <x:c r="L2" s="14"/>
    </x:row>
    <x:row r="3">
      <x:c r="A3" s="14" t="str">
        <x:v>EXTRA_0002</x:v>
      </x:c>
      <x:c r="B3" s="14" t="str">
        <x:v>MB_AMAZONIA</x:v>
      </x:c>
      <x:c r="C3" s="14" t="str">
        <x:v>CUSTOS_EXTRAS</x:v>
      </x:c>
      <x:c r="D3" s="14" t="str">
        <x:v>Veículo dedicado / estiva local conforme porte: Saveiro, Kia, Caminhão 3/4, toco, truck, carreta</x:v>
      </x:c>
      <x:c r="E3" s="46" t="str">
        <x:v>350/500/600/700/900/1200</x:v>
      </x:c>
      <x:c r="F3" s="14"/>
      <x:c r="G3" s="14" t="str">
        <x:v>MANUAL</x:v>
      </x:c>
      <x:c r="H3" s="14"/>
      <x:c r="I3" s="14" t="str">
        <x:v>REVISAR_OK</x:v>
      </x:c>
      <x:c r="J3" s="14" t="str">
        <x:v>doc20621120260704143158.pdf</x:v>
      </x:c>
      <x:c r="K3" s="14" t="str">
        <x:v>2</x:v>
      </x:c>
      <x:c r="L3" s="14"/>
    </x:row>
    <x:row r="4">
      <x:c r="A4" s="14" t="str">
        <x:v>EXTRA_0003</x:v>
      </x:c>
      <x:c r="B4" s="14" t="str">
        <x:v>MB_AMAZONIA</x:v>
      </x:c>
      <x:c r="C4" s="14" t="str">
        <x:v>PALETIZAÇÃO</x:v>
      </x:c>
      <x:c r="D4" s="14" t="str">
        <x:v>Serviço de paletização</x:v>
      </x:c>
      <x:c r="E4" s="46" t="str">
        <x:v>0,50 por unidade</x:v>
      </x:c>
      <x:c r="F4" s="14"/>
      <x:c r="G4" s="14"/>
      <x:c r="H4" s="14"/>
      <x:c r="I4" s="14" t="str">
        <x:v>REVISAR_OK</x:v>
      </x:c>
      <x:c r="J4" s="14" t="str">
        <x:v>doc20621120260704143158.pdf</x:v>
      </x:c>
      <x:c r="K4" s="14" t="str">
        <x:v>2</x:v>
      </x:c>
      <x:c r="L4" s="14"/>
    </x:row>
    <x:row r="5">
      <x:c r="A5" s="14" t="str">
        <x:v>EXTRA_0004</x:v>
      </x:c>
      <x:c r="B5" s="14" t="str">
        <x:v>MB_AMAZONIA</x:v>
      </x:c>
      <x:c r="C5" s="14" t="str">
        <x:v>CUBAGEM</x:v>
      </x:c>
      <x:c r="D5" s="14" t="str">
        <x:v>Para cargas volumosas considerar 300 kg/m³</x:v>
      </x:c>
      <x:c r="E5" s="46"/>
      <x:c r="F5" s="14"/>
      <x:c r="G5" s="14" t="str">
        <x:v>CUBAGEM</x:v>
      </x:c>
      <x:c r="H5" s="14"/>
      <x:c r="I5" s="14" t="str">
        <x:v>REVISAR_OK</x:v>
      </x:c>
      <x:c r="J5" s="14" t="str">
        <x:v>doc20621120260704143158.pdf</x:v>
      </x:c>
      <x:c r="K5" s="14" t="str">
        <x:v>1</x:v>
      </x:c>
      <x:c r="L5" s="14"/>
    </x:row>
    <x:row r="6">
      <x:c r="A6" s="14" t="str">
        <x:v>EXTRA_0005</x:v>
      </x:c>
      <x:c r="B6" s="14" t="str">
        <x:v>JSP</x:v>
      </x:c>
      <x:c r="C6" s="14" t="str">
        <x:v>PEDÁGIO</x:v>
      </x:c>
      <x:c r="D6" s="14" t="str">
        <x:v>R$2,05 por emissão do CTRC por praça de pedágio</x:v>
      </x:c>
      <x:c r="E6" s="46" t="str">
        <x:v>2,05</x:v>
      </x:c>
      <x:c r="F6" s="14"/>
      <x:c r="G6" s="14" t="str">
        <x:v>CTRC</x:v>
      </x:c>
      <x:c r="H6" s="14"/>
      <x:c r="I6" s="14" t="str">
        <x:v>REVISAR_OK</x:v>
      </x:c>
      <x:c r="J6" s="14" t="str">
        <x:v>doc20621320260704143240.pdf</x:v>
      </x:c>
      <x:c r="K6" s="14" t="str">
        <x:v>2</x:v>
      </x:c>
      <x:c r="L6" s="14"/>
    </x:row>
    <x:row r="7">
      <x:c r="A7" s="14" t="str">
        <x:v>EXTRA_0006</x:v>
      </x:c>
      <x:c r="B7" s="14" t="str">
        <x:v>JSP</x:v>
      </x:c>
      <x:c r="C7" s="14" t="str">
        <x:v>REENTREGA</x:v>
      </x:c>
      <x:c r="D7" s="14" t="str">
        <x:v>50% do frete original bruto</x:v>
      </x:c>
      <x:c r="E7" s="46"/>
      <x:c r="F7" s="14" t="str">
        <x:v>50%</x:v>
      </x:c>
      <x:c r="G7" s="14" t="str">
        <x:v>ORIGINAL</x:v>
      </x:c>
      <x:c r="H7" s="14"/>
      <x:c r="I7" s="14" t="str">
        <x:v>REVISAR_OK</x:v>
      </x:c>
      <x:c r="J7" s="14" t="str">
        <x:v>doc20621320260704143240.pdf</x:v>
      </x:c>
      <x:c r="K7" s="14" t="str">
        <x:v>2</x:v>
      </x:c>
      <x:c r="L7" s="14"/>
    </x:row>
    <x:row r="8">
      <x:c r="A8" s="14" t="str">
        <x:v>EXTRA_0007</x:v>
      </x:c>
      <x:c r="B8" s="14" t="str">
        <x:v>JSP</x:v>
      </x:c>
      <x:c r="C8" s="14" t="str">
        <x:v>DEVOLUÇÃO</x:v>
      </x:c>
      <x:c r="D8" s="14" t="str">
        <x:v>50% do frete original bruto</x:v>
      </x:c>
      <x:c r="E8" s="46"/>
      <x:c r="F8" s="14" t="str">
        <x:v>50%</x:v>
      </x:c>
      <x:c r="G8" s="14" t="str">
        <x:v>ORIGINAL</x:v>
      </x:c>
      <x:c r="H8" s="14"/>
      <x:c r="I8" s="14" t="str">
        <x:v>REVISAR_OK</x:v>
      </x:c>
      <x:c r="J8" s="14" t="str">
        <x:v>doc20621320260704143240.pdf</x:v>
      </x:c>
      <x:c r="K8" s="14" t="str">
        <x:v>2</x:v>
      </x:c>
      <x:c r="L8" s="14"/>
    </x:row>
    <x:row r="9">
      <x:c r="A9" s="14" t="str">
        <x:v>EXTRA_0008</x:v>
      </x:c>
      <x:c r="B9" s="14" t="str">
        <x:v>JSP</x:v>
      </x:c>
      <x:c r="C9" s="14" t="str">
        <x:v>DESCARGA</x:v>
      </x:c>
      <x:c r="D9" s="14" t="str">
        <x:v>R$15,00 por pessoa</x:v>
      </x:c>
      <x:c r="E9" s="46" t="str">
        <x:v>15,00</x:v>
      </x:c>
      <x:c r="F9" s="14"/>
      <x:c r="G9" s="14" t="str">
        <x:v>MANUAL</x:v>
      </x:c>
      <x:c r="H9" s="14"/>
      <x:c r="I9" s="14" t="str">
        <x:v>REVISAR_OK</x:v>
      </x:c>
      <x:c r="J9" s="14" t="str">
        <x:v>doc20621320260704143240.pdf</x:v>
      </x:c>
      <x:c r="K9" s="14" t="str">
        <x:v>2</x:v>
      </x:c>
      <x:c r="L9" s="14"/>
    </x:row>
    <x:row r="10">
      <x:c r="A10" s="14" t="str">
        <x:v>EXTRA_0009</x:v>
      </x:c>
      <x:c r="B10" s="14" t="str">
        <x:v>JSP</x:v>
      </x:c>
      <x:c r="C10" s="14" t="str">
        <x:v>TAXA_ARMAZENAGEM</x:v>
      </x:c>
      <x:c r="D10" s="14" t="str">
        <x:v>Após 3º dia corrido: R$15,00/dia + 0,5% sobre valor da NF ao dia</x:v>
      </x:c>
      <x:c r="E10" s="46" t="str">
        <x:v>15,00</x:v>
      </x:c>
      <x:c r="F10" s="14" t="str">
        <x:v>0,5%</x:v>
      </x:c>
      <x:c r="G10" s="14" t="str">
        <x:v>NF</x:v>
      </x:c>
      <x:c r="H10" s="14"/>
      <x:c r="I10" s="14" t="str">
        <x:v>REVISAR_OK</x:v>
      </x:c>
      <x:c r="J10" s="14" t="str">
        <x:v>doc20621320260704143240.pdf</x:v>
      </x:c>
      <x:c r="K10" s="14" t="str">
        <x:v>2</x:v>
      </x:c>
      <x:c r="L10" s="14"/>
    </x:row>
    <x:row r="11">
      <x:c r="A11" s="14" t="str">
        <x:v>EXTRA_0010</x:v>
      </x:c>
      <x:c r="B11" s="14" t="str">
        <x:v>JSP</x:v>
      </x:c>
      <x:c r="C11" s="14" t="str">
        <x:v>PALETIZAÇÃO</x:v>
      </x:c>
      <x:c r="D11" s="14" t="str">
        <x:v>R$20,00 por palete</x:v>
      </x:c>
      <x:c r="E11" s="46" t="str">
        <x:v>20,00</x:v>
      </x:c>
      <x:c r="F11" s="14"/>
      <x:c r="G11" s="14"/>
      <x:c r="H11" s="14"/>
      <x:c r="I11" s="14" t="str">
        <x:v>REVISAR_OK</x:v>
      </x:c>
      <x:c r="J11" s="14" t="str">
        <x:v>doc20621320260704143240.pdf</x:v>
      </x:c>
      <x:c r="K11" s="14" t="str">
        <x:v>2</x:v>
      </x:c>
      <x:c r="L11" s="14"/>
    </x:row>
    <x:row r="12">
      <x:c r="A12" s="14" t="str">
        <x:v>EXTRA_0011</x:v>
      </x:c>
      <x:c r="B12" s="14" t="str">
        <x:v>LN</x:v>
      </x:c>
      <x:c r="C12" s="14" t="str">
        <x:v>DEVOLUÇÃO</x:v>
      </x:c>
      <x:c r="D12" s="14" t="str">
        <x:v>100% Frete de Origem</x:v>
      </x:c>
      <x:c r="E12" s="46"/>
      <x:c r="F12" s="14" t="str">
        <x:v>100%</x:v>
      </x:c>
      <x:c r="G12" s="14" t="str">
        <x:v>ORIGINAL</x:v>
      </x:c>
      <x:c r="H12" s="14"/>
      <x:c r="I12" s="14" t="str">
        <x:v>REVISAR_OK</x:v>
      </x:c>
      <x:c r="J12" s="14" t="str">
        <x:v>doc20620720260704143045.pdf</x:v>
      </x:c>
      <x:c r="K12" s="14" t="str">
        <x:v>2</x:v>
      </x:c>
      <x:c r="L12" s="14"/>
    </x:row>
    <x:row r="13">
      <x:c r="A13" s="14" t="str">
        <x:v>EXTRA_0012</x:v>
      </x:c>
      <x:c r="B13" s="14" t="str">
        <x:v>LN</x:v>
      </x:c>
      <x:c r="C13" s="14" t="str">
        <x:v>REENTREGA</x:v>
      </x:c>
      <x:c r="D13" s="14" t="str">
        <x:v>80% Frete de Origem</x:v>
      </x:c>
      <x:c r="E13" s="46"/>
      <x:c r="F13" s="14" t="str">
        <x:v>80%</x:v>
      </x:c>
      <x:c r="G13" s="14" t="str">
        <x:v>ORIGINAL</x:v>
      </x:c>
      <x:c r="H13" s="14"/>
      <x:c r="I13" s="14" t="str">
        <x:v>REVISAR_OK</x:v>
      </x:c>
      <x:c r="J13" s="14" t="str">
        <x:v>doc20620720260704143045.pdf</x:v>
      </x:c>
      <x:c r="K13" s="14" t="str">
        <x:v>2</x:v>
      </x:c>
      <x:c r="L13" s="14"/>
    </x:row>
    <x:row r="14">
      <x:c r="A14" s="14" t="str">
        <x:v>EXTRA_0013</x:v>
      </x:c>
      <x:c r="B14" s="14" t="str">
        <x:v>LN</x:v>
      </x:c>
      <x:c r="C14" s="14" t="str">
        <x:v>CUBAGEM</x:v>
      </x:c>
      <x:c r="D14" s="14" t="str">
        <x:v>300 kg/m³</x:v>
      </x:c>
      <x:c r="E14" s="46"/>
      <x:c r="F14" s="14"/>
      <x:c r="G14" s="14" t="str">
        <x:v>CUBAGEM</x:v>
      </x:c>
      <x:c r="H14" s="14"/>
      <x:c r="I14" s="14" t="str">
        <x:v>REVISAR_OK</x:v>
      </x:c>
      <x:c r="J14" s="14" t="str">
        <x:v>doc20620720260704143045.pdf</x:v>
      </x:c>
      <x:c r="K14" s="14" t="str">
        <x:v>2</x:v>
      </x:c>
      <x:c r="L14" s="14"/>
    </x:row>
    <x:row r="15">
      <x:c r="A15" s="14" t="str">
        <x:v>EXTRA_0014</x:v>
      </x:c>
      <x:c r="B15" s="14" t="str">
        <x:v>LN</x:v>
      </x:c>
      <x:c r="C15" s="14" t="str">
        <x:v>FRETE_PERCENTUAL</x:v>
      </x:c>
      <x:c r="D15" s="14" t="str">
        <x:v>Valor calculado sobre o frete de origem com ICMS</x:v>
      </x:c>
      <x:c r="E15" s="46"/>
      <x:c r="F15" s="14"/>
      <x:c r="G15" s="14" t="str">
        <x:v>ORIGINAL_COM_ICMS</x:v>
      </x:c>
      <x:c r="H15" s="14"/>
      <x:c r="I15" s="14" t="str">
        <x:v>REVISAR_OK</x:v>
      </x:c>
      <x:c r="J15" s="14" t="str">
        <x:v>doc20620720260704143045.pdf</x:v>
      </x:c>
      <x:c r="K15" s="14" t="str">
        <x:v>2</x:v>
      </x:c>
      <x:c r="L15" s="14"/>
    </x:row>
    <x:row r="16">
      <x:c r="A16" s="14" t="str">
        <x:v>EXTRA_0015</x:v>
      </x:c>
      <x:c r="B16" s="14" t="str">
        <x:v>LN</x:v>
      </x:c>
      <x:c r="C16" s="14" t="str">
        <x:v>PALETIZAÇÃO</x:v>
      </x:c>
      <x:c r="D16" s="14" t="str">
        <x:v>R$30,00 por palete; com filme stretch R$50,00</x:v>
      </x:c>
      <x:c r="E16" s="46" t="str">
        <x:v>30/50</x:v>
      </x:c>
      <x:c r="F16" s="14"/>
      <x:c r="G16" s="14" t="str">
        <x:v>PALETE</x:v>
      </x:c>
      <x:c r="H16" s="14"/>
      <x:c r="I16" s="14" t="str">
        <x:v>REVISAR_OK</x:v>
      </x:c>
      <x:c r="J16" s="14" t="str">
        <x:v>doc20620720260704143045.pdf</x:v>
      </x:c>
      <x:c r="K16" s="14" t="str">
        <x:v>2</x:v>
      </x:c>
      <x:c r="L16" s="14"/>
    </x:row>
    <x:row r="17">
      <x:c r="A17" s="14" t="str">
        <x:v>EXTRA_0016</x:v>
      </x:c>
      <x:c r="B17" s="14" t="str">
        <x:v>LN</x:v>
      </x:c>
      <x:c r="C17" s="14" t="str">
        <x:v>VEICULO_DEDICADO</x:v>
      </x:c>
      <x:c r="D17" s="14" t="str">
        <x:v>Fiorino 350; Van 390; 3/4 550; Toco 690; Truck 800</x:v>
      </x:c>
      <x:c r="E17" s="46" t="str">
        <x:v>350/390/550/690/800</x:v>
      </x:c>
      <x:c r="F17" s="14"/>
      <x:c r="G17" s="14" t="str">
        <x:v>MANUAL</x:v>
      </x:c>
      <x:c r="H17" s="14"/>
      <x:c r="I17" s="14" t="str">
        <x:v>REVISAR_OK</x:v>
      </x:c>
      <x:c r="J17" s="14" t="str">
        <x:v>doc20620720260704143045.pdf</x:v>
      </x:c>
      <x:c r="K17" s="14" t="str">
        <x:v>2</x:v>
      </x:c>
      <x:c r="L17" s="14"/>
    </x:row>
    <x:row r="18">
      <x:c r="A18" s="14" t="str">
        <x:v>EXTRA_0017</x:v>
      </x:c>
      <x:c r="B18" s="14" t="str">
        <x:v>GN_NORTE</x:v>
      </x:c>
      <x:c r="C18" s="14" t="str">
        <x:v>DEVOLUÇÃO</x:v>
      </x:c>
      <x:c r="D18" s="14" t="str">
        <x:v>100% Frete de origem</x:v>
      </x:c>
      <x:c r="E18" s="46"/>
      <x:c r="F18" s="14" t="str">
        <x:v>100%</x:v>
      </x:c>
      <x:c r="G18" s="14" t="str">
        <x:v>ORIGINAL</x:v>
      </x:c>
      <x:c r="H18" s="14"/>
      <x:c r="I18" s="14" t="str">
        <x:v>REVISAR_OK</x:v>
      </x:c>
      <x:c r="J18" s="14" t="str">
        <x:v>doc20620820260704143103.pdf</x:v>
      </x:c>
      <x:c r="K18" s="14" t="str">
        <x:v>1</x:v>
      </x:c>
      <x:c r="L18" s="14"/>
    </x:row>
    <x:row r="19">
      <x:c r="A19" s="14" t="str">
        <x:v>EXTRA_0018</x:v>
      </x:c>
      <x:c r="B19" s="14" t="str">
        <x:v>GN_NORTE</x:v>
      </x:c>
      <x:c r="C19" s="14" t="str">
        <x:v>REENTREGA</x:v>
      </x:c>
      <x:c r="D19" s="14" t="str">
        <x:v>100% Frete de origem</x:v>
      </x:c>
      <x:c r="E19" s="46"/>
      <x:c r="F19" s="14" t="str">
        <x:v>100%</x:v>
      </x:c>
      <x:c r="G19" s="14" t="str">
        <x:v>ORIGINAL</x:v>
      </x:c>
      <x:c r="H19" s="14"/>
      <x:c r="I19" s="14" t="str">
        <x:v>REVISAR_OK</x:v>
      </x:c>
      <x:c r="J19" s="14" t="str">
        <x:v>doc20620820260704143103.pdf</x:v>
      </x:c>
      <x:c r="K19" s="14" t="str">
        <x:v>1</x:v>
      </x:c>
      <x:c r="L19" s="14"/>
    </x:row>
    <x:row r="20">
      <x:c r="A20" s="14" t="str">
        <x:v>EXTRA_0019</x:v>
      </x:c>
      <x:c r="B20" s="14" t="str">
        <x:v>GN_NORTE</x:v>
      </x:c>
      <x:c r="C20" s="14" t="str">
        <x:v>REEMBOLSO</x:v>
      </x:c>
      <x:c r="D20" s="14" t="str">
        <x:v>Valores cobrados pelo destinatário referente a separação/descarga/paletização serão repassados ao contratante</x:v>
      </x:c>
      <x:c r="E20" s="46"/>
      <x:c r="F20" s="14"/>
      <x:c r="G20" s="14" t="str">
        <x:v>MANUAL</x:v>
      </x:c>
      <x:c r="H20" s="14"/>
      <x:c r="I20" s="14" t="str">
        <x:v>REVISAR_OK</x:v>
      </x:c>
      <x:c r="J20" s="14" t="str">
        <x:v>doc20620820260704143103.pdf</x:v>
      </x:c>
      <x:c r="K20" s="14" t="str">
        <x:v>1</x:v>
      </x:c>
      <x:c r="L20" s="14"/>
    </x:row>
    <x:row r="21">
      <x:c r="A21" s="14" t="str">
        <x:v>EXTRA_0020</x:v>
      </x:c>
      <x:c r="B21" s="14" t="str">
        <x:v>GN_NORTE</x:v>
      </x:c>
      <x:c r="C21" s="14" t="str">
        <x:v>PALETIZAÇÃO</x:v>
      </x:c>
      <x:c r="D21" s="14" t="str">
        <x:v>R$30,00 por palete</x:v>
      </x:c>
      <x:c r="E21" s="46" t="str">
        <x:v>30,00</x:v>
      </x:c>
      <x:c r="F21" s="14"/>
      <x:c r="G21" s="14" t="str">
        <x:v>PALETE</x:v>
      </x:c>
      <x:c r="H21" s="14"/>
      <x:c r="I21" s="14" t="str">
        <x:v>REVISAR_OK</x:v>
      </x:c>
      <x:c r="J21" s="14" t="str">
        <x:v>doc20620820260704143103.pdf</x:v>
      </x:c>
      <x:c r="K21" s="14" t="str">
        <x:v>1</x:v>
      </x:c>
      <x:c r="L21" s="14"/>
    </x:row>
    <x:row r="22">
      <x:c r="A22" s="14" t="str">
        <x:v>EXTRA_0021</x:v>
      </x:c>
      <x:c r="B22" s="14" t="str">
        <x:v>GN_NORTE</x:v>
      </x:c>
      <x:c r="C22" s="14" t="str">
        <x:v>AJUDANTE_ADICIONAL</x:v>
      </x:c>
      <x:c r="D22" s="14" t="str">
        <x:v>R$120,00</x:v>
      </x:c>
      <x:c r="E22" s="46" t="str">
        <x:v>120,00</x:v>
      </x:c>
      <x:c r="F22" s="14"/>
      <x:c r="G22" s="14" t="str">
        <x:v>MANUAL</x:v>
      </x:c>
      <x:c r="H22" s="14"/>
      <x:c r="I22" s="14" t="str">
        <x:v>REVISAR_OK</x:v>
      </x:c>
      <x:c r="J22" s="14" t="str">
        <x:v>doc20620820260704143103.pdf</x:v>
      </x:c>
      <x:c r="K22" s="14" t="str">
        <x:v>1</x:v>
      </x:c>
      <x:c r="L22" s="14"/>
    </x:row>
    <x:row r="23">
      <x:c r="A23" s="14" t="str">
        <x:v>EXTRA_0022</x:v>
      </x:c>
      <x:c r="B23" s="14" t="str">
        <x:v>GN_NORTE</x:v>
      </x:c>
      <x:c r="C23" s="14" t="str">
        <x:v>ARMAZENAGEM</x:v>
      </x:c>
      <x:c r="D23" s="14" t="str">
        <x:v>R$25,00 por tonelada + 0,20% valor NF/dia, mínimo R$25,00</x:v>
      </x:c>
      <x:c r="E23" s="46" t="str">
        <x:v>25,00</x:v>
      </x:c>
      <x:c r="F23" s="14" t="str">
        <x:v>0,20%</x:v>
      </x:c>
      <x:c r="G23" s="14" t="str">
        <x:v>NF</x:v>
      </x:c>
      <x:c r="H23" s="14"/>
      <x:c r="I23" s="14" t="str">
        <x:v>REVISAR_OK</x:v>
      </x:c>
      <x:c r="J23" s="14" t="str">
        <x:v>doc20620820260704143103.pdf</x:v>
      </x:c>
      <x:c r="K23" s="14" t="str">
        <x:v>1</x:v>
      </x:c>
      <x:c r="L23" s="14"/>
    </x:row>
    <x:row r="24">
      <x:c r="A24" s="14" t="str">
        <x:v>EXTRA_0023</x:v>
      </x:c>
      <x:c r="B24" s="14" t="str">
        <x:v>GN_NORTE</x:v>
      </x:c>
      <x:c r="C24" s="14" t="str">
        <x:v>PEDÁGIO</x:v>
      </x:c>
      <x:c r="D24" s="14" t="str">
        <x:v>R$1,00 fração de 100 kg</x:v>
      </x:c>
      <x:c r="E24" s="46" t="str">
        <x:v>1,00</x:v>
      </x:c>
      <x:c r="F24" s="14"/>
      <x:c r="G24" s="14" t="str">
        <x:v>PESO</x:v>
      </x:c>
      <x:c r="H24" s="14"/>
      <x:c r="I24" s="14" t="str">
        <x:v>REVISAR_OK</x:v>
      </x:c>
      <x:c r="J24" s="14" t="str">
        <x:v>doc20620820260704143103.pdf</x:v>
      </x:c>
      <x:c r="K24" s="14" t="str">
        <x:v>1</x:v>
      </x:c>
      <x:c r="L24" s="14"/>
    </x:row>
    <x:row r="25">
      <x:c r="A25" s="14" t="str">
        <x:v>EXTRA_0024</x:v>
      </x:c>
      <x:c r="B25" s="14" t="str">
        <x:v>EM</x:v>
      </x:c>
      <x:c r="C25" s="14" t="str">
        <x:v>DEVOLUÇÃO</x:v>
      </x:c>
      <x:c r="D25" s="14" t="str">
        <x:v>100% Frete de Origem</x:v>
      </x:c>
      <x:c r="E25" s="46"/>
      <x:c r="F25" s="14" t="str">
        <x:v>100%</x:v>
      </x:c>
      <x:c r="G25" s="14" t="str">
        <x:v>ORIGINAL</x:v>
      </x:c>
      <x:c r="H25" s="14"/>
      <x:c r="I25" s="14" t="str">
        <x:v>REVISAR_OK</x:v>
      </x:c>
      <x:c r="J25" s="14" t="str">
        <x:v>doc20620920260704143119.pdf</x:v>
      </x:c>
      <x:c r="K25" s="14" t="str">
        <x:v>1</x:v>
      </x:c>
      <x:c r="L25" s="14"/>
    </x:row>
    <x:row r="26">
      <x:c r="A26" s="14" t="str">
        <x:v>EXTRA_0025</x:v>
      </x:c>
      <x:c r="B26" s="14" t="str">
        <x:v>EM</x:v>
      </x:c>
      <x:c r="C26" s="14" t="str">
        <x:v>REENTREGA</x:v>
      </x:c>
      <x:c r="D26" s="14" t="str">
        <x:v>50% Frete de Origem</x:v>
      </x:c>
      <x:c r="E26" s="46"/>
      <x:c r="F26" s="14" t="str">
        <x:v>50%</x:v>
      </x:c>
      <x:c r="G26" s="14" t="str">
        <x:v>ORIGINAL</x:v>
      </x:c>
      <x:c r="H26" s="14"/>
      <x:c r="I26" s="14" t="str">
        <x:v>REVISAR_OK</x:v>
      </x:c>
      <x:c r="J26" s="14" t="str">
        <x:v>doc20620920260704143119.pdf</x:v>
      </x:c>
      <x:c r="K26" s="14" t="str">
        <x:v>1</x:v>
      </x:c>
      <x:c r="L26" s="14"/>
    </x:row>
    <x:row r="27">
      <x:c r="A27" s="14" t="str">
        <x:v>EXTRA_0026</x:v>
      </x:c>
      <x:c r="B27" s="14" t="str">
        <x:v>EM</x:v>
      </x:c>
      <x:c r="C27" s="14" t="str">
        <x:v>DIÁRIA/PERNOITE</x:v>
      </x:c>
      <x:c r="D27" s="14" t="str">
        <x:v>Van R$150,00; 3/4 R$200,00</x:v>
      </x:c>
      <x:c r="E27" s="46" t="str">
        <x:v>150/200</x:v>
      </x:c>
      <x:c r="F27" s="14"/>
      <x:c r="G27" s="14" t="str">
        <x:v>MANUAL</x:v>
      </x:c>
      <x:c r="H27" s="14"/>
      <x:c r="I27" s="14" t="str">
        <x:v>REVISAR_OK</x:v>
      </x:c>
      <x:c r="J27" s="14" t="str">
        <x:v>doc20620920260704143119.pdf</x:v>
      </x:c>
      <x:c r="K27" s="14" t="str">
        <x:v>2</x:v>
      </x:c>
      <x:c r="L27" s="14"/>
    </x:row>
    <x:row r="28">
      <x:c r="A28" s="14" t="str">
        <x:v>EXTRA_0027</x:v>
      </x:c>
      <x:c r="B28" s="14" t="str">
        <x:v>EM</x:v>
      </x:c>
      <x:c r="C28" s="14" t="str">
        <x:v>VEICULO_DEDICADO</x:v>
      </x:c>
      <x:c r="D28" s="14" t="str">
        <x:v>Van 150; 3/4 200; Toco 350; Truck 550</x:v>
      </x:c>
      <x:c r="E28" s="46" t="str">
        <x:v>150/200/350/550</x:v>
      </x:c>
      <x:c r="F28" s="14"/>
      <x:c r="G28" s="14" t="str">
        <x:v>MANUAL</x:v>
      </x:c>
      <x:c r="H28" s="14"/>
      <x:c r="I28" s="14" t="str">
        <x:v>REVISAR_OK</x:v>
      </x:c>
      <x:c r="J28" s="14" t="str">
        <x:v>doc20620920260704143119.pdf</x:v>
      </x:c>
      <x:c r="K28" s="14" t="str">
        <x:v>2</x:v>
      </x:c>
      <x:c r="L28" s="14"/>
    </x:row>
    <x:row r="29">
      <x:c r="A29" s="14" t="str">
        <x:v>EXTRA_0028</x:v>
      </x:c>
      <x:c r="B29" s="14" t="str">
        <x:v>FENIX</x:v>
      </x:c>
      <x:c r="C29" s="14" t="str">
        <x:v>DEVOLUÇÃO</x:v>
      </x:c>
      <x:c r="D29" s="14" t="str">
        <x:v>90% do valor do frete cobrado da origem acrescido do ICMS local</x:v>
      </x:c>
      <x:c r="E29" s="46"/>
      <x:c r="F29" s="14" t="str">
        <x:v>90%</x:v>
      </x:c>
      <x:c r="G29" s="14" t="str">
        <x:v>ORIGINAL_COM_ICMS</x:v>
      </x:c>
      <x:c r="H29" s="14"/>
      <x:c r="I29" s="14" t="str">
        <x:v>REVISAR_OK</x:v>
      </x:c>
      <x:c r="J29" s="14" t="str">
        <x:v>doc20621020260704143141.pdf</x:v>
      </x:c>
      <x:c r="K29" s="14" t="str">
        <x:v>2</x:v>
      </x:c>
      <x:c r="L29" s="14"/>
    </x:row>
    <x:row r="30">
      <x:c r="A30" s="14" t="str">
        <x:v>EXTRA_0029</x:v>
      </x:c>
      <x:c r="B30" s="14" t="str">
        <x:v>FENIX</x:v>
      </x:c>
      <x:c r="C30" s="14" t="str">
        <x:v>REENTREGA</x:v>
      </x:c>
      <x:c r="D30" s="14" t="str">
        <x:v>100% do valor do frete original</x:v>
      </x:c>
      <x:c r="E30" s="46"/>
      <x:c r="F30" s="14" t="str">
        <x:v>100%</x:v>
      </x:c>
      <x:c r="G30" s="14" t="str">
        <x:v>ORIGINAL</x:v>
      </x:c>
      <x:c r="H30" s="14"/>
      <x:c r="I30" s="14" t="str">
        <x:v>REVISAR_OK</x:v>
      </x:c>
      <x:c r="J30" s="14" t="str">
        <x:v>doc20621020260704143141.pdf</x:v>
      </x:c>
      <x:c r="K30" s="14" t="str">
        <x:v>2</x:v>
      </x:c>
      <x:c r="L30" s="14"/>
    </x:row>
    <x:row r="31">
      <x:c r="A31" s="14" t="str">
        <x:v>EXTRA_0030</x:v>
      </x:c>
      <x:c r="B31" s="14" t="str">
        <x:v>FENIX</x:v>
      </x:c>
      <x:c r="C31" s="14" t="str">
        <x:v>ARMAZENAGEM</x:v>
      </x:c>
      <x:c r="D31" s="14" t="str">
        <x:v>Free time 2 dias; depois 1% ao dia sobre valor da mercadoria</x:v>
      </x:c>
      <x:c r="E31" s="46"/>
      <x:c r="F31" s="14" t="str">
        <x:v>1% ao dia</x:v>
      </x:c>
      <x:c r="G31" s="14" t="str">
        <x:v>MERCADORIA</x:v>
      </x:c>
      <x:c r="H31" s="14"/>
      <x:c r="I31" s="14" t="str">
        <x:v>REVISAR_OK</x:v>
      </x:c>
      <x:c r="J31" s="14" t="str">
        <x:v>doc20621020260704143141.pdf</x:v>
      </x:c>
      <x:c r="K31" s="14" t="str">
        <x:v>2</x:v>
      </x:c>
      <x:c r="L31" s="14"/>
    </x:row>
    <x:row r="32">
      <x:c r="A32" s="14" t="str">
        <x:v>EXTRA_RODOTEC_0001</x:v>
      </x:c>
      <x:c r="B32" s="14" t="str">
        <x:v>W_S_TRANSPORTES</x:v>
      </x:c>
      <x:c r="C32" s="14" t="str">
        <x:v>GRIS</x:v>
      </x:c>
      <x:c r="D32" s="14" t="str">
        <x:v>Taxa de Gerenciamento de Risco (GRIS) sobre valor da mercadoria</x:v>
      </x:c>
      <x:c r="E32" s="46"/>
      <x:c r="F32" s="14" t="str">
        <x:v>0,02%</x:v>
      </x:c>
      <x:c r="G32" s="14" t="str">
        <x:v>MERCADORIA</x:v>
      </x:c>
      <x:c r="H32" s="14"/>
      <x:c r="I32" s="14" t="str">
        <x:v>REVISAR_OK</x:v>
      </x:c>
      <x:c r="J32" s="14" t="str">
        <x:v>rodotec.pdf</x:v>
      </x:c>
      <x:c r="K32" s="14" t="str">
        <x:v>2</x:v>
      </x:c>
      <x:c r="L32" s="14" t="str">
        <x:v>Conferido no PDF Rodotec pág. 2.</x:v>
      </x:c>
    </x:row>
    <x:row r="33">
      <x:c r="A33" s="12" t="str">
        <x:v>EXTRA_RODOTEC_0002</x:v>
      </x:c>
      <x:c r="B33" s="12" t="str">
        <x:v>W_S_TRANSPORTES</x:v>
      </x:c>
      <x:c r="C33" s="12" t="str">
        <x:v>TAXA_PERMANENCIA_CARGA</x:v>
      </x:c>
      <x:c r="D33" s="12" t="str">
        <x:v>Taxa de permanência da carga por tonelada/dia ou fração</x:v>
      </x:c>
      <x:c r="E33" s="12" t="str">
        <x:v>25,00</x:v>
      </x:c>
      <x:c r="F33" s="12"/>
      <x:c r="G33" s="12" t="str">
        <x:v>TON_DIA</x:v>
      </x:c>
      <x:c r="H33" s="12"/>
      <x:c r="I33" s="12" t="str">
        <x:v>REVISAR_OK</x:v>
      </x:c>
      <x:c r="J33" s="12" t="str">
        <x:v>rodotec.pdf</x:v>
      </x:c>
      <x:c r="K33" s="12" t="str">
        <x:v>2</x:v>
      </x:c>
      <x:c r="L33" s="12" t="str">
        <x:v>Conferido no PDF Rodotec pág. 2.</x:v>
      </x:c>
    </x:row>
    <x:row r="34">
      <x:c r="A34" s="12" t="str">
        <x:v>EXTRA_RODOTEC_0003</x:v>
      </x:c>
      <x:c r="B34" s="12" t="str">
        <x:v>W_S_TRANSPORTES</x:v>
      </x:c>
      <x:c r="C34" s="12" t="str">
        <x:v>SEGURO_PERMANENCIA</x:v>
      </x:c>
      <x:c r="D34" s="12" t="str">
        <x:v>Seguro da carga durante a permanência sobre valor da mercadoria</x:v>
      </x:c>
      <x:c r="E34" s="12"/>
      <x:c r="F34" s="12" t="str">
        <x:v>0,20%</x:v>
      </x:c>
      <x:c r="G34" s="12" t="str">
        <x:v>MERCADORIA</x:v>
      </x:c>
      <x:c r="H34" s="12"/>
      <x:c r="I34" s="12" t="str">
        <x:v>REVISAR_OK</x:v>
      </x:c>
      <x:c r="J34" s="12" t="str">
        <x:v>rodotec.pdf</x:v>
      </x:c>
      <x:c r="K34" s="12" t="str">
        <x:v>2</x:v>
      </x:c>
      <x:c r="L34" s="12" t="str">
        <x:v>Conferido no PDF Rodotec pág. 2.</x:v>
      </x:c>
    </x:row>
    <x:row r="35">
      <x:c r="A35" s="12" t="str">
        <x:v>EXTRA_RODOTEC_0004</x:v>
      </x:c>
      <x:c r="B35" s="12" t="str">
        <x:v>W_S_TRANSPORTES</x:v>
      </x:c>
      <x:c r="C35" s="12" t="str">
        <x:v>CUBAGEM</x:v>
      </x:c>
      <x:c r="D35" s="12" t="str">
        <x:v>Cubagem 300 kg por m³</x:v>
      </x:c>
      <x:c r="E35" s="12"/>
      <x:c r="F35" s="12"/>
      <x:c r="G35" s="12" t="str">
        <x:v>CUBAGEM</x:v>
      </x:c>
      <x:c r="H35" s="12" t="str">
        <x:v>300 kg/m³</x:v>
      </x:c>
      <x:c r="I35" s="12" t="str">
        <x:v>REVISAR_OK</x:v>
      </x:c>
      <x:c r="J35" s="12" t="str">
        <x:v>rodotec.pdf</x:v>
      </x:c>
      <x:c r="K35" s="12" t="str">
        <x:v>2</x:v>
      </x:c>
      <x:c r="L35" s="12" t="str">
        <x:v>Conferido no PDF Rodotec pág. 2.</x:v>
      </x:c>
    </x:row>
    <x:row r="36">
      <x:c r="A36" s="12" t="str">
        <x:v>EXTRA_RODOTEC_0005</x:v>
      </x:c>
      <x:c r="B36" s="12" t="str">
        <x:v>W_S_TRANSPORTES</x:v>
      </x:c>
      <x:c r="C36" s="12" t="str">
        <x:v>DEVOLUÇÃO</x:v>
      </x:c>
      <x:c r="D36" s="12" t="str">
        <x:v>Devolução sobre o frete original</x:v>
      </x:c>
      <x:c r="E36" s="12"/>
      <x:c r="F36" s="12" t="str">
        <x:v>100%</x:v>
      </x:c>
      <x:c r="G36" s="12" t="str">
        <x:v>ORIGINAL</x:v>
      </x:c>
      <x:c r="H36" s="12"/>
      <x:c r="I36" s="12" t="str">
        <x:v>REVISAR_OK</x:v>
      </x:c>
      <x:c r="J36" s="12" t="str">
        <x:v>rodotec.pdf</x:v>
      </x:c>
      <x:c r="K36" s="12" t="str">
        <x:v>2</x:v>
      </x:c>
      <x:c r="L36" s="12" t="str">
        <x:v>Conferido no PDF Rodotec pág. 2.</x:v>
      </x:c>
    </x:row>
    <x:row r="37">
      <x:c r="A37" s="12" t="str">
        <x:v>EXTRA_RODOTEC_0006</x:v>
      </x:c>
      <x:c r="B37" s="12" t="str">
        <x:v>W_S_TRANSPORTES</x:v>
      </x:c>
      <x:c r="C37" s="12" t="str">
        <x:v>REENTREGA</x:v>
      </x:c>
      <x:c r="D37" s="12" t="str">
        <x:v>Reentrega sobre o frete original; até valor R$85,00 cobrar por conhecimento</x:v>
      </x:c>
      <x:c r="E37" s="12"/>
      <x:c r="F37" s="12" t="str">
        <x:v>50%</x:v>
      </x:c>
      <x:c r="G37" s="12" t="str">
        <x:v>ORIGINAL</x:v>
      </x:c>
      <x:c r="H37" s="12" t="str">
        <x:v>Mínimo/conhecimento R$55,00</x:v>
      </x:c>
      <x:c r="I37" s="12" t="str">
        <x:v>REVISAR_OK</x:v>
      </x:c>
      <x:c r="J37" s="12" t="str">
        <x:v>rodotec.pdf</x:v>
      </x:c>
      <x:c r="K37" s="12" t="str">
        <x:v>2</x:v>
      </x:c>
      <x:c r="L37" s="12" t="str">
        <x:v>Valor R$55,00 visível na tabela de generalidades.</x:v>
      </x:c>
    </x:row>
    <x:row r="38">
      <x:c r="A38" s="12" t="str">
        <x:v>EXTRA_RODOTEC_0007</x:v>
      </x:c>
      <x:c r="B38" s="12" t="str">
        <x:v>W_S_TRANSPORTES</x:v>
      </x:c>
      <x:c r="C38" s="12" t="str">
        <x:v>ESTADIA_VEICULO_FIORINO</x:v>
      </x:c>
      <x:c r="D38" s="12" t="str">
        <x:v>Estadia de veículo Fiorino</x:v>
      </x:c>
      <x:c r="E38" s="12" t="str">
        <x:v>225,00</x:v>
      </x:c>
      <x:c r="F38" s="12"/>
      <x:c r="G38" s="12" t="str">
        <x:v>MANUAL</x:v>
      </x:c>
      <x:c r="H38" s="12"/>
      <x:c r="I38" s="12" t="str">
        <x:v>REVISAR_OK_MANUAL</x:v>
      </x:c>
      <x:c r="J38" s="12" t="str">
        <x:v>rodotec.pdf</x:v>
      </x:c>
      <x:c r="K38" s="12" t="str">
        <x:v>2</x:v>
      </x:c>
      <x:c r="L38" s="12" t="str">
        <x:v>Conferido no PDF; cobrança depende de condição/documento/definição operacional.</x:v>
      </x:c>
    </x:row>
    <x:row r="39">
      <x:c r="A39" s="12" t="str">
        <x:v>EXTRA_RODOTEC_0008</x:v>
      </x:c>
      <x:c r="B39" s="12" t="str">
        <x:v>W_S_TRANSPORTES</x:v>
      </x:c>
      <x:c r="C39" s="12" t="str">
        <x:v>ESTADIA_VEICULO_3_4</x:v>
      </x:c>
      <x:c r="D39" s="12" t="str">
        <x:v>Estadia de veículo 3/4</x:v>
      </x:c>
      <x:c r="E39" s="12" t="str">
        <x:v>340,00</x:v>
      </x:c>
      <x:c r="F39" s="12"/>
      <x:c r="G39" s="12" t="str">
        <x:v>MANUAL</x:v>
      </x:c>
      <x:c r="H39" s="12"/>
      <x:c r="I39" s="12" t="str">
        <x:v>REVISAR_OK_MANUAL</x:v>
      </x:c>
      <x:c r="J39" s="12" t="str">
        <x:v>rodotec.pdf</x:v>
      </x:c>
      <x:c r="K39" s="12" t="str">
        <x:v>2</x:v>
      </x:c>
      <x:c r="L39" s="12" t="str">
        <x:v>Conferido no PDF; cobrança depende de condição/documento/definição operacional.</x:v>
      </x:c>
    </x:row>
    <x:row r="40">
      <x:c r="A40" s="12" t="str">
        <x:v>EXTRA_RODOTEC_0009</x:v>
      </x:c>
      <x:c r="B40" s="12" t="str">
        <x:v>W_S_TRANSPORTES</x:v>
      </x:c>
      <x:c r="C40" s="12" t="str">
        <x:v>ESTADIA_VEICULO_TRUCK</x:v>
      </x:c>
      <x:c r="D40" s="12" t="str">
        <x:v>Estadia de veículo truck</x:v>
      </x:c>
      <x:c r="E40" s="12" t="str">
        <x:v>465,00</x:v>
      </x:c>
      <x:c r="F40" s="12"/>
      <x:c r="G40" s="12" t="str">
        <x:v>MANUAL</x:v>
      </x:c>
      <x:c r="H40" s="12"/>
      <x:c r="I40" s="12" t="str">
        <x:v>REVISAR_OK_MANUAL</x:v>
      </x:c>
      <x:c r="J40" s="12" t="str">
        <x:v>rodotec.pdf</x:v>
      </x:c>
      <x:c r="K40" s="12" t="str">
        <x:v>2</x:v>
      </x:c>
      <x:c r="L40" s="12" t="str">
        <x:v>Conferido no PDF; cobrança depende de condição/documento/definição operacional.</x:v>
      </x:c>
    </x:row>
    <x:row r="41">
      <x:c r="A41" s="12" t="str">
        <x:v>EXTRA_RODOTEC_0010</x:v>
      </x:c>
      <x:c r="B41" s="12" t="str">
        <x:v>W_S_TRANSPORTES</x:v>
      </x:c>
      <x:c r="C41" s="12" t="str">
        <x:v>ESTADIA_VEICULO_CARRETA</x:v>
      </x:c>
      <x:c r="D41" s="12" t="str">
        <x:v>Estadia de veículo carreta</x:v>
      </x:c>
      <x:c r="E41" s="12" t="str">
        <x:v>490,00</x:v>
      </x:c>
      <x:c r="F41" s="12"/>
      <x:c r="G41" s="12" t="str">
        <x:v>MANUAL</x:v>
      </x:c>
      <x:c r="H41" s="12"/>
      <x:c r="I41" s="12" t="str">
        <x:v>REVISAR_OK_MANUAL</x:v>
      </x:c>
      <x:c r="J41" s="12" t="str">
        <x:v>rodotec.pdf</x:v>
      </x:c>
      <x:c r="K41" s="12" t="str">
        <x:v>2</x:v>
      </x:c>
      <x:c r="L41" s="12" t="str">
        <x:v>Conferido no PDF; cobrança depende de condição/documento/definição operacional.</x:v>
      </x:c>
    </x:row>
    <x:row r="42">
      <x:c r="A42" s="12" t="str">
        <x:v>EXTRA_RODOTEC_0011</x:v>
      </x:c>
      <x:c r="B42" s="12" t="str">
        <x:v>W_S_TRANSPORTES</x:v>
      </x:c>
      <x:c r="C42" s="12" t="str">
        <x:v>ESTADIA_CONJUNTO_CAVALO_CARRETA</x:v>
      </x:c>
      <x:c r="D42" s="12" t="str">
        <x:v>Estadia conjunto cavalo + carreta</x:v>
      </x:c>
      <x:c r="E42" s="12" t="str">
        <x:v>665,00</x:v>
      </x:c>
      <x:c r="F42" s="12"/>
      <x:c r="G42" s="12" t="str">
        <x:v>MANUAL</x:v>
      </x:c>
      <x:c r="H42" s="12"/>
      <x:c r="I42" s="12" t="str">
        <x:v>REVISAR_OK_MANUAL</x:v>
      </x:c>
      <x:c r="J42" s="12" t="str">
        <x:v>rodotec.pdf</x:v>
      </x:c>
      <x:c r="K42" s="12" t="str">
        <x:v>2</x:v>
      </x:c>
      <x:c r="L42" s="12" t="str">
        <x:v>Conferido no PDF; cobrança depende de condição/documento/definição operacional.</x:v>
      </x:c>
    </x:row>
    <x:row r="43">
      <x:c r="A43" s="12" t="str">
        <x:v>EXTRA_RODOTEC_0012</x:v>
      </x:c>
      <x:c r="B43" s="12" t="str">
        <x:v>W_S_TRANSPORTES</x:v>
      </x:c>
      <x:c r="C43" s="12" t="str">
        <x:v>PEDÁGIO</x:v>
      </x:c>
      <x:c r="D43" s="12" t="str">
        <x:v>Pedágio na fração de 100 kg</x:v>
      </x:c>
      <x:c r="E43" s="12" t="str">
        <x:v>3,50</x:v>
      </x:c>
      <x:c r="F43" s="12"/>
      <x:c r="G43" s="12" t="str">
        <x:v>PESO_100KG</x:v>
      </x:c>
      <x:c r="H43" s="12"/>
      <x:c r="I43" s="12" t="str">
        <x:v>REVISAR_OK</x:v>
      </x:c>
      <x:c r="J43" s="12" t="str">
        <x:v>rodotec.pdf</x:v>
      </x:c>
      <x:c r="K43" s="12" t="str">
        <x:v>2</x:v>
      </x:c>
      <x:c r="L43" s="12" t="str">
        <x:v>Conferido no PDF Rodotec pág. 2.</x:v>
      </x:c>
    </x:row>
    <x:row r="44">
      <x:c r="A44" s="12" t="str">
        <x:v>EXTRA_RODOTEC_0013</x:v>
      </x:c>
      <x:c r="B44" s="12" t="str">
        <x:v>W_S_TRANSPORTES</x:v>
      </x:c>
      <x:c r="C44" s="12" t="str">
        <x:v>TAS_TAXA_ADM_SEFAZ</x:v>
      </x:c>
      <x:c r="D44" s="12" t="str">
        <x:v>TAS - Taxa de Adm. SEFAZ por conhecimento</x:v>
      </x:c>
      <x:c r="E44" s="12" t="str">
        <x:v>2,49</x:v>
      </x:c>
      <x:c r="F44" s="12"/>
      <x:c r="G44" s="12" t="str">
        <x:v>CONHECIMENTO</x:v>
      </x:c>
      <x:c r="H44" s="12"/>
      <x:c r="I44" s="12" t="str">
        <x:v>REVISAR_OK</x:v>
      </x:c>
      <x:c r="J44" s="12" t="str">
        <x:v>rodotec.pdf</x:v>
      </x:c>
      <x:c r="K44" s="12" t="str">
        <x:v>2</x:v>
      </x:c>
      <x:c r="L44" s="12" t="str">
        <x:v>Conferido no PDF Rodotec pág. 2.</x:v>
      </x:c>
    </x:row>
    <x:row r="45">
      <x:c r="A45" s="12" t="str">
        <x:v>EXTRA_RODOTEC_0014</x:v>
      </x:c>
      <x:c r="B45" s="12" t="str">
        <x:v>W_S_TRANSPORTES</x:v>
      </x:c>
      <x:c r="C45" s="12" t="str">
        <x:v>TDE</x:v>
      </x:c>
      <x:c r="D45" s="12" t="str">
        <x:v>TDE - Taxa de Dificuldade de Entrega sobre o frete original; até valor R$85,00 cobrar por conhecimento</x:v>
      </x:c>
      <x:c r="E45" s="12"/>
      <x:c r="F45" s="12" t="str">
        <x:v>40%</x:v>
      </x:c>
      <x:c r="G45" s="12" t="str">
        <x:v>ORIGINAL</x:v>
      </x:c>
      <x:c r="H45" s="12" t="str">
        <x:v>Mínimo/conhecimento R$55,00</x:v>
      </x:c>
      <x:c r="I45" s="12" t="str">
        <x:v>REVISAR_OK</x:v>
      </x:c>
      <x:c r="J45" s="12" t="str">
        <x:v>rodotec.pdf</x:v>
      </x:c>
      <x:c r="K45" s="12" t="str">
        <x:v>2</x:v>
      </x:c>
      <x:c r="L45" s="12" t="str">
        <x:v>Conferido no PDF Rodotec pág. 2.</x:v>
      </x:c>
    </x:row>
    <x:row r="46">
      <x:c r="A46" s="12" t="str">
        <x:v>EXTRA_RODOTEC_0015</x:v>
      </x:c>
      <x:c r="B46" s="12" t="str">
        <x:v>W_S_TRANSPORTES</x:v>
      </x:c>
      <x:c r="C46" s="12" t="str">
        <x:v>TFD</x:v>
      </x:c>
      <x:c r="D46" s="12" t="str">
        <x:v>TFD - Taxa Fiel Depositário sobre valor da mercadoria/dia</x:v>
      </x:c>
      <x:c r="E46" s="12"/>
      <x:c r="F46" s="12" t="str">
        <x:v>0,25%</x:v>
      </x:c>
      <x:c r="G46" s="12" t="str">
        <x:v>MERCADORIA_DIA</x:v>
      </x:c>
      <x:c r="H46" s="12"/>
      <x:c r="I46" s="12" t="str">
        <x:v>REVISAR_OK</x:v>
      </x:c>
      <x:c r="J46" s="12" t="str">
        <x:v>rodotec.pdf</x:v>
      </x:c>
      <x:c r="K46" s="12" t="str">
        <x:v>2</x:v>
      </x:c>
      <x:c r="L46" s="12" t="str">
        <x:v>Conferido no PDF Rodotec pág. 2.</x:v>
      </x:c>
    </x:row>
    <x:row r="47">
      <x:c r="A47" s="12" t="str">
        <x:v>EXTRA_RODOTEC_0016</x:v>
      </x:c>
      <x:c r="B47" s="12" t="str">
        <x:v>W_S_TRANSPORTES</x:v>
      </x:c>
      <x:c r="C47" s="12" t="str">
        <x:v>MERCADORIA_QUIMICA_PERIGOSA</x:v>
      </x:c>
      <x:c r="D47" s="12" t="str">
        <x:v>Mercadoria Química e produtos perigosos: não transportamos</x:v>
      </x:c>
      <x:c r="E47" s="12"/>
      <x:c r="F47" s="12"/>
      <x:c r="G47" s="12" t="str">
        <x:v>NAO_TRANSPORTA</x:v>
      </x:c>
      <x:c r="H47" s="12"/>
      <x:c r="I47" s="12" t="str">
        <x:v>REVISAR_OK_MANUAL</x:v>
      </x:c>
      <x:c r="J47" s="12" t="str">
        <x:v>rodotec.pdf</x:v>
      </x:c>
      <x:c r="K47" s="12" t="str">
        <x:v>2</x:v>
      </x:c>
      <x:c r="L47" s="12" t="str">
        <x:v>Conferido no PDF; cobrança depende de condição/documento/definição operacional.</x:v>
      </x:c>
    </x:row>
    <x:row r="48">
      <x:c r="A48" s="12" t="str">
        <x:v>EXTRA_RODOTEC_0017</x:v>
      </x:c>
      <x:c r="B48" s="12" t="str">
        <x:v>W_S_TRANSPORTES</x:v>
      </x:c>
      <x:c r="C48" s="12" t="str">
        <x:v>TAXA_PLACA_SOLAR</x:v>
      </x:c>
      <x:c r="D48" s="12" t="str">
        <x:v>Taxa de Placa Solar por emissão</x:v>
      </x:c>
      <x:c r="E48" s="12" t="str">
        <x:v>240,00</x:v>
      </x:c>
      <x:c r="F48" s="12"/>
      <x:c r="G48" s="12" t="str">
        <x:v>EMISSAO</x:v>
      </x:c>
      <x:c r="H48" s="12"/>
      <x:c r="I48" s="12" t="str">
        <x:v>REVISAR_OK</x:v>
      </x:c>
      <x:c r="J48" s="12" t="str">
        <x:v>rodotec.pdf</x:v>
      </x:c>
      <x:c r="K48" s="12" t="str">
        <x:v>2</x:v>
      </x:c>
      <x:c r="L48" s="12" t="str">
        <x:v>Conferido no PDF Rodotec pág. 2.</x:v>
      </x:c>
    </x:row>
    <x:row r="49">
      <x:c r="A49" s="12" t="str">
        <x:v>EXTRA_RODOTEC_0018</x:v>
      </x:c>
      <x:c r="B49" s="12" t="str">
        <x:v>W_S_TRANSPORTES</x:v>
      </x:c>
      <x:c r="C49" s="12" t="str">
        <x:v>TPD_DESCARGAS</x:v>
      </x:c>
      <x:c r="D49" s="12" t="str">
        <x:v>TPD - Taxa para pagamento de descargas via TSR/Rodotec; depende de documento fiscal/recibo + impostos/despesas adm.</x:v>
      </x:c>
      <x:c r="E49" s="12"/>
      <x:c r="F49" s="12"/>
      <x:c r="G49" s="12" t="str">
        <x:v>MANUAL</x:v>
      </x:c>
      <x:c r="H49" s="12" t="str">
        <x:v>Alinhamento via TSR</x:v>
      </x:c>
      <x:c r="I49" s="12" t="str">
        <x:v>REVISAR_OK_MANUAL</x:v>
      </x:c>
      <x:c r="J49" s="12" t="str">
        <x:v>rodotec.pdf</x:v>
      </x:c>
      <x:c r="K49" s="12" t="str">
        <x:v>2</x:v>
      </x:c>
      <x:c r="L49" s="12" t="str">
        <x:v>Conferido no PDF; cobrança depende de condição/documento/definição operacional.</x:v>
      </x:c>
    </x:row>
    <x:row r="50">
      <x:c r="A50" s="12" t="str">
        <x:v>EXTRA_RODOTEC_0019</x:v>
      </x:c>
      <x:c r="B50" s="12" t="str">
        <x:v>W_S_TRANSPORTES</x:v>
      </x:c>
      <x:c r="C50" s="12" t="str">
        <x:v>SEGURO_FLUVIAL_AM</x:v>
      </x:c>
      <x:c r="D50" s="12" t="str">
        <x:v>Seguro fluvial com origem/destino AM sobre valor da mercadoria; até R$15.500 cobrar por conhecimento</x:v>
      </x:c>
      <x:c r="E50" s="12"/>
      <x:c r="F50" s="12" t="str">
        <x:v>0,12%</x:v>
      </x:c>
      <x:c r="G50" s="12" t="str">
        <x:v>MERCADORIA</x:v>
      </x:c>
      <x:c r="H50" s="12" t="str">
        <x:v>Mínimo/conhecimento R$21,00</x:v>
      </x:c>
      <x:c r="I50" s="12" t="str">
        <x:v>REVISAR_OK</x:v>
      </x:c>
      <x:c r="J50" s="12" t="str">
        <x:v>rodotec.pdf</x:v>
      </x:c>
      <x:c r="K50" s="12" t="str">
        <x:v>2</x:v>
      </x:c>
      <x:c r="L50" s="12" t="str">
        <x:v>Conferido no PDF Rodotec pág. 2.</x:v>
      </x:c>
    </x:row>
    <x:row r="51">
      <x:c r="A51" s="12" t="str">
        <x:v>EXTRA_RODOTEC_0020</x:v>
      </x:c>
      <x:c r="B51" s="12" t="str">
        <x:v>W_S_TRANSPORTES</x:v>
      </x:c>
      <x:c r="C51" s="12" t="str">
        <x:v>TRF_REDESPACHO_FLUVIAL</x:v>
      </x:c>
      <x:c r="D51" s="12" t="str">
        <x:v>TRF - Taxa Redespacho Fluvial sobre valor da mercadoria; até R$3.123,91 cobrar por conhecimento</x:v>
      </x:c>
      <x:c r="E51" s="12"/>
      <x:c r="F51" s="12" t="str">
        <x:v>5,00%</x:v>
      </x:c>
      <x:c r="G51" s="12" t="str">
        <x:v>MERCADORIA</x:v>
      </x:c>
      <x:c r="H51" s="12" t="str">
        <x:v>Mínimo/conhecimento R$156,19</x:v>
      </x:c>
      <x:c r="I51" s="12" t="str">
        <x:v>REVISAR_OK</x:v>
      </x:c>
      <x:c r="J51" s="12" t="str">
        <x:v>rodotec.pdf</x:v>
      </x:c>
      <x:c r="K51" s="12" t="str">
        <x:v>2</x:v>
      </x:c>
      <x:c r="L51" s="12" t="str">
        <x:v>Conferido no PDF Rodotec pág. 2.</x:v>
      </x:c>
    </x:row>
    <x:row r="52">
      <x:c r="A52" s="12" t="str">
        <x:v>EXTRA_RODOTEC_0021</x:v>
      </x:c>
      <x:c r="B52" s="12" t="str">
        <x:v>W_S_TRANSPORTES</x:v>
      </x:c>
      <x:c r="C52" s="12" t="str">
        <x:v>PALETIZAÇÃO</x:v>
      </x:c>
      <x:c r="D52" s="12" t="str">
        <x:v>Paletização por palete padrão PBR</x:v>
      </x:c>
      <x:c r="E52" s="12" t="str">
        <x:v>35,00</x:v>
      </x:c>
      <x:c r="F52" s="12"/>
      <x:c r="G52" s="12" t="str">
        <x:v>PALETE</x:v>
      </x:c>
      <x:c r="H52" s="12"/>
      <x:c r="I52" s="12" t="str">
        <x:v>REVISAR_OK</x:v>
      </x:c>
      <x:c r="J52" s="12" t="str">
        <x:v>rodotec.pdf</x:v>
      </x:c>
      <x:c r="K52" s="12" t="str">
        <x:v>2</x:v>
      </x:c>
      <x:c r="L52" s="12" t="str">
        <x:v>Conferido no PDF Rodotec pág. 2.</x:v>
      </x:c>
    </x:row>
    <x:row r="53">
      <x:c r="A53" s="12" t="str">
        <x:v>EXTRA_RODOTEC_0022</x:v>
      </x:c>
      <x:c r="B53" s="12" t="str">
        <x:v>W_S_TRANSPORTES</x:v>
      </x:c>
      <x:c r="C53" s="12" t="str">
        <x:v>DEVOLUCAO_CANHOTO_NF</x:v>
      </x:c>
      <x:c r="D53" s="12" t="str">
        <x:v>Devolução do canhoto de Nota Fiscal por documento/canhoto</x:v>
      </x:c>
      <x:c r="E53" s="12" t="str">
        <x:v>8,99</x:v>
      </x:c>
      <x:c r="F53" s="12"/>
      <x:c r="G53" s="12" t="str">
        <x:v>DOCUMENTO</x:v>
      </x:c>
      <x:c r="H53" s="12"/>
      <x:c r="I53" s="12" t="str">
        <x:v>REVISAR_OK</x:v>
      </x:c>
      <x:c r="J53" s="12" t="str">
        <x:v>rodotec.pdf</x:v>
      </x:c>
      <x:c r="K53" s="12" t="str">
        <x:v>2</x:v>
      </x:c>
      <x:c r="L53" s="12" t="str">
        <x:v>Conferido no PDF Rodotec pág. 2.</x:v>
      </x:c>
    </x:row>
    <x:row r="54">
      <x:c r="A54" s="12" t="str">
        <x:v>EXTRA_RODOTEC_0023</x:v>
      </x:c>
      <x:c r="B54" s="12" t="str">
        <x:v>W_S_TRANSPORTES</x:v>
      </x:c>
      <x:c r="C54" s="12" t="str">
        <x:v>VEICULO_DEDICADO_FIORINO</x:v>
      </x:c>
      <x:c r="D54" s="12" t="str">
        <x:v>Entrega com veículo dedicado - Fiorino</x:v>
      </x:c>
      <x:c r="E54" s="12" t="str">
        <x:v>350,00</x:v>
      </x:c>
      <x:c r="F54" s="12"/>
      <x:c r="G54" s="12" t="str">
        <x:v>MANUAL</x:v>
      </x:c>
      <x:c r="H54" s="12"/>
      <x:c r="I54" s="12" t="str">
        <x:v>REVISAR_OK_MANUAL</x:v>
      </x:c>
      <x:c r="J54" s="12" t="str">
        <x:v>rodotec.pdf</x:v>
      </x:c>
      <x:c r="K54" s="12" t="str">
        <x:v>2</x:v>
      </x:c>
      <x:c r="L54" s="12" t="str">
        <x:v>Conferido no PDF; cobrança depende de condição/documento/definição operacional.</x:v>
      </x:c>
    </x:row>
    <x:row r="55">
      <x:c r="A55" s="12" t="str">
        <x:v>EXTRA_RODOTEC_0024</x:v>
      </x:c>
      <x:c r="B55" s="12" t="str">
        <x:v>W_S_TRANSPORTES</x:v>
      </x:c>
      <x:c r="C55" s="12" t="str">
        <x:v>VEICULO_DEDICADO_3_4</x:v>
      </x:c>
      <x:c r="D55" s="12" t="str">
        <x:v>Entrega com veículo dedicado - 3/4</x:v>
      </x:c>
      <x:c r="E55" s="12" t="str">
        <x:v>550,00</x:v>
      </x:c>
      <x:c r="F55" s="12"/>
      <x:c r="G55" s="12" t="str">
        <x:v>MANUAL</x:v>
      </x:c>
      <x:c r="H55" s="12"/>
      <x:c r="I55" s="12" t="str">
        <x:v>REVISAR_OK_MANUAL</x:v>
      </x:c>
      <x:c r="J55" s="12" t="str">
        <x:v>rodotec.pdf</x:v>
      </x:c>
      <x:c r="K55" s="12" t="str">
        <x:v>2</x:v>
      </x:c>
      <x:c r="L55" s="12" t="str">
        <x:v>Conferido no PDF; cobrança depende de condição/documento/definição operacional.</x:v>
      </x:c>
    </x:row>
    <x:row r="56">
      <x:c r="A56" s="12" t="str">
        <x:v>EXTRA_RODOTEC_0025</x:v>
      </x:c>
      <x:c r="B56" s="12" t="str">
        <x:v>W_S_TRANSPORTES</x:v>
      </x:c>
      <x:c r="C56" s="12" t="str">
        <x:v>VEICULO_DEDICADO_TRUCK</x:v>
      </x:c>
      <x:c r="D56" s="12" t="str">
        <x:v>Entrega com veículo dedicado - truck</x:v>
      </x:c>
      <x:c r="E56" s="12" t="str">
        <x:v>780,00</x:v>
      </x:c>
      <x:c r="F56" s="12"/>
      <x:c r="G56" s="12" t="str">
        <x:v>MANUAL</x:v>
      </x:c>
      <x:c r="H56" s="12"/>
      <x:c r="I56" s="12" t="str">
        <x:v>REVISAR_OK_MANUAL</x:v>
      </x:c>
      <x:c r="J56" s="12" t="str">
        <x:v>rodotec.pdf</x:v>
      </x:c>
      <x:c r="K56" s="12" t="str">
        <x:v>2</x:v>
      </x:c>
      <x:c r="L56" s="12" t="str">
        <x:v>Conferido no PDF; cobrança depende de condição/documento/definição operacional.</x:v>
      </x:c>
    </x:row>
    <x:row r="57">
      <x:c r="A57" s="12" t="str">
        <x:v>EXTRA_RODOTEC_0026</x:v>
      </x:c>
      <x:c r="B57" s="12" t="str">
        <x:v>W_S_TRANSPORTES</x:v>
      </x:c>
      <x:c r="C57" s="12" t="str">
        <x:v>VEICULO_DEDICADO_CARRETA</x:v>
      </x:c>
      <x:c r="D57" s="12" t="str">
        <x:v>Entrega com veículo dedicado - carreta</x:v>
      </x:c>
      <x:c r="E57" s="12" t="str">
        <x:v>950,00</x:v>
      </x:c>
      <x:c r="F57" s="12"/>
      <x:c r="G57" s="12" t="str">
        <x:v>MANUAL</x:v>
      </x:c>
      <x:c r="H57" s="12"/>
      <x:c r="I57" s="12" t="str">
        <x:v>REVISAR_OK_MANUAL</x:v>
      </x:c>
      <x:c r="J57" s="12" t="str">
        <x:v>rodotec.pdf</x:v>
      </x:c>
      <x:c r="K57" s="12" t="str">
        <x:v>2</x:v>
      </x:c>
      <x:c r="L57" s="12" t="str">
        <x:v>Conferido no PDF; cobrança depende de condição/documento/definição operacional.</x:v>
      </x:c>
    </x:row>
    <x:row r="58">
      <x:c r="A58" s="12" t="str">
        <x:v>EXTRA_RODOTEC_0027</x:v>
      </x:c>
      <x:c r="B58" s="12" t="str">
        <x:v>W_S_TRANSPORTES</x:v>
      </x:c>
      <x:c r="C58" s="12" t="str">
        <x:v>VEICULO_DEDICADO_CONJUNTO</x:v>
      </x:c>
      <x:c r="D58" s="12" t="str">
        <x:v>Entrega com veículo dedicado - conjunto cavalo + carreta</x:v>
      </x:c>
      <x:c r="E58" s="12" t="str">
        <x:v>1230,00</x:v>
      </x:c>
      <x:c r="F58" s="12"/>
      <x:c r="G58" s="12" t="str">
        <x:v>MANUAL</x:v>
      </x:c>
      <x:c r="H58" s="12"/>
      <x:c r="I58" s="12" t="str">
        <x:v>REVISAR_OK_MANUAL</x:v>
      </x:c>
      <x:c r="J58" s="12" t="str">
        <x:v>rodotec.pdf</x:v>
      </x:c>
      <x:c r="K58" s="12" t="str">
        <x:v>2</x:v>
      </x:c>
      <x:c r="L58" s="12" t="str">
        <x:v>Conferido no PDF; cobrança depende de condição/documento/definição operacional.</x:v>
      </x:c>
    </x:row>
    <x:row r="59">
      <x:c r="A59" s="12" t="str">
        <x:v>EXTRA_RODOTEC_0028</x:v>
      </x:c>
      <x:c r="B59" s="12" t="str">
        <x:v>W_S_TRANSPORTES</x:v>
      </x:c>
      <x:c r="C59" s="12" t="str">
        <x:v>COLETA_DOMINGOS_FERIADOS</x:v>
      </x:c>
      <x:c r="D59" s="12" t="str">
        <x:v>Coleta domingos e feriados sobre o frete original</x:v>
      </x:c>
      <x:c r="E59" s="12"/>
      <x:c r="F59" s="12" t="str">
        <x:v>30%</x:v>
      </x:c>
      <x:c r="G59" s="12" t="str">
        <x:v>ORIGINAL</x:v>
      </x:c>
      <x:c r="H59" s="12"/>
      <x:c r="I59" s="12" t="str">
        <x:v>REVISAR_OK</x:v>
      </x:c>
      <x:c r="J59" s="12" t="str">
        <x:v>rodotec.pdf</x:v>
      </x:c>
      <x:c r="K59" s="12" t="str">
        <x:v>2</x:v>
      </x:c>
      <x:c r="L59" s="12" t="str">
        <x:v>Conferido no PDF Rodotec pág. 2.</x:v>
      </x:c>
    </x:row>
    <x:row r="60">
      <x:c r="A60" t="str">
        <x:v>EXTRA_RC12_MRV_REENTREGA_PALMAS</x:v>
      </x:c>
      <x:c r="B60" t="str">
        <x:v>MRV_TRANSPORTES</x:v>
      </x:c>
      <x:c r="C60" t="str">
        <x:v>REENTREGA</x:v>
      </x:c>
      <x:c r="D60" t="str">
        <x:v>50% do frete de origem para reentrega em Palmas/TO</x:v>
      </x:c>
      <x:c r="E60"/>
      <x:c r="F60" t="str">
        <x:v>50%</x:v>
      </x:c>
      <x:c r="G60" t="str">
        <x:v>ORIGEM</x:v>
      </x:c>
      <x:c r="H60" t="str">
        <x:v>DESTINO=PALMAS/TO</x:v>
      </x:c>
      <x:c r="I60" t="str">
        <x:v>REVISAR_OK</x:v>
      </x:c>
      <x:c r="J60" t="str">
        <x:v>Tabela MRV Logistica.pdf</x:v>
      </x:c>
      <x:c r="K60" t="str">
        <x:v>4</x:v>
      </x:c>
      <x:c r="L60" t="str">
        <x:v>Regra condicional RC12. Aplicar somente quando o destino comercial normalizado for Palmas/TO.</x:v>
      </x:c>
    </x:row>
    <x:row r="61">
      <x:c r="A61" t="str">
        <x:v>EXTRA_RC12_MRV_REENTREGA_TO</x:v>
      </x:c>
      <x:c r="B61" t="str">
        <x:v>MRV_TRANSPORTES</x:v>
      </x:c>
      <x:c r="C61" t="str">
        <x:v>REENTREGA</x:v>
      </x:c>
      <x:c r="D61" t="str">
        <x:v>100% do frete de origem para reentrega nas demais cidades do Tocantins</x:v>
      </x:c>
      <x:c r="E61"/>
      <x:c r="F61" t="str">
        <x:v>100%</x:v>
      </x:c>
      <x:c r="G61" t="str">
        <x:v>ORIGEM</x:v>
      </x:c>
      <x:c r="H61" t="str">
        <x:v>UF=TO;DESTINO!=PALMAS</x:v>
      </x:c>
      <x:c r="I61" t="str">
        <x:v>REVISAR_OK</x:v>
      </x:c>
      <x:c r="J61" t="str">
        <x:v>Tabela MRV Logistica.pdf</x:v>
      </x:c>
      <x:c r="K61" t="str">
        <x:v>4</x:v>
      </x:c>
      <x:c r="L61" t="str">
        <x:v>Regra condicional RC12. Não aplicar em Palmas/TO.</x:v>
      </x:c>
    </x:row>
    <x:row r="62">
      <x:c r="A62" t="str">
        <x:v>EXTRA_RC12_WS_REEMBOLSO_DESCARGA</x:v>
      </x:c>
      <x:c r="B62" t="str">
        <x:v>W_S_TRANSPORTES</x:v>
      </x:c>
      <x:c r="C62" t="str">
        <x:v>REEMBOLSO_DESCARGA</x:v>
      </x:c>
      <x:c r="D62" t="str">
        <x:v>Reembolso de descarga mediante documento/recibo e validação operacional</x:v>
      </x:c>
      <x:c r="E62"/>
      <x:c r="F62"/>
      <x:c r="G62" t="str">
        <x:v>MANUAL</x:v>
      </x:c>
      <x:c r="H62" t="str">
        <x:v>EXIGE_COMPROVANTE</x:v>
      </x:c>
      <x:c r="I62" t="str">
        <x:v>REVISAR_MANUAL</x:v>
      </x:c>
      <x:c r="J62" t="str">
        <x:v>rodotec.pdf</x:v>
      </x:c>
      <x:c r="K62" t="str">
        <x:v>2</x:v>
      </x:c>
      <x:c r="L62" t="str">
        <x:v>Classificar como EXTRA REVISAR; não comparar com a regra percentual normal.</x:v>
      </x:c>
    </x:row>
    <x:row r="63">
      <x:c r="A63" t="str">
        <x:v>EXTRA_RC12_WS_CAPATAZIA</x:v>
      </x:c>
      <x:c r="B63" t="str">
        <x:v>W_S_TRANSPORTES</x:v>
      </x:c>
      <x:c r="C63" t="str">
        <x:v>CAPATAZIA</x:v>
      </x:c>
      <x:c r="D63" t="str">
        <x:v>Capatazia ou serviço operacional mediante comprovação e validação</x:v>
      </x:c>
      <x:c r="E63"/>
      <x:c r="F63"/>
      <x:c r="G63" t="str">
        <x:v>MANUAL</x:v>
      </x:c>
      <x:c r="H63" t="str">
        <x:v>EXIGE_COMPROVANTE</x:v>
      </x:c>
      <x:c r="I63" t="str">
        <x:v>REVISAR_MANUAL</x:v>
      </x:c>
      <x:c r="J63" t="str">
        <x:v>rodotec.pdf</x:v>
      </x:c>
      <x:c r="K63" t="str">
        <x:v>2</x:v>
      </x:c>
      <x:c r="L63" t="str">
        <x:v>Classificar como EXTRA REVISAR; não comparar com a regra percentual normal.</x:v>
      </x:c>
    </x:row>
    <x:row r="64">
      <x:c r="A64" t="str">
        <x:v>EXTRA_RC12_FENIX_TDE</x:v>
      </x:c>
      <x:c r="B64" t="str">
        <x:v>FENIX</x:v>
      </x:c>
      <x:c r="C64" t="str">
        <x:v>TDE</x:v>
      </x:c>
      <x:c r="D64" t="str">
        <x:v>Taxa de dificuldade/entrega sujeita a condição operacional e comprovação</x:v>
      </x:c>
      <x:c r="E64"/>
      <x:c r="F64"/>
      <x:c r="G64" t="str">
        <x:v>MANUAL</x:v>
      </x:c>
      <x:c r="H64" t="str">
        <x:v>VALIDACAO_OPERACIONAL</x:v>
      </x:c>
      <x:c r="I64" t="str">
        <x:v>REVISAR_MANUAL</x:v>
      </x:c>
      <x:c r="J64" t="str">
        <x:v>TABELA MILAYDE PATRICIA.pdf</x:v>
      </x:c>
      <x:c r="K64" t="str">
        <x:v>2</x:v>
      </x:c>
      <x:c r="L64" t="str">
        <x:v>A regra também é herdada por MILAYDE_LOBATO. Não aprovar automaticamente.</x:v>
      </x:c>
    </x:row>
    <x:row r="65">
      <x:c r="A65" t="str">
        <x:v>EXTRA_RC12_FENIX_TEMPO</x:v>
      </x:c>
      <x:c r="B65" t="str">
        <x:v>FENIX</x:v>
      </x:c>
      <x:c r="C65" t="str">
        <x:v>TEMPO_EXCEDIDO</x:v>
      </x:c>
      <x:c r="D65" t="str">
        <x:v>Após 5 horas no local de entrega, cobrança adicional conforme diária/caminhão</x:v>
      </x:c>
      <x:c r="E65"/>
      <x:c r="F65" t="str">
        <x:v>70%</x:v>
      </x:c>
      <x:c r="G65" t="str">
        <x:v>DIARIA</x:v>
      </x:c>
      <x:c r="H65" t="str">
        <x:v>TEMPO&gt;5H</x:v>
      </x:c>
      <x:c r="I65" t="str">
        <x:v>REVISAR_MANUAL</x:v>
      </x:c>
      <x:c r="J65" t="str">
        <x:v>TABELA MILAYDE PATRICIA.pdf</x:v>
      </x:c>
      <x:c r="K65" t="str">
        <x:v>2</x:v>
      </x:c>
      <x:c r="L65" t="str">
        <x:v>A regra também é herdada por MILAYDE_LOBATO. Exige tempo e tipo de veículo.</x:v>
      </x:c>
    </x:row>
    <x:row r="66">
      <x:c r="A66" t="str">
        <x:v>EXTRA_RC12_FENIX_TABELA_ANTIGA</x:v>
      </x:c>
      <x:c r="B66" t="str">
        <x:v>FENIX</x:v>
      </x:c>
      <x:c r="C66" t="str">
        <x:v>TABELA_ANTIGA</x:v>
      </x:c>
      <x:c r="D66" t="str">
        <x:v>Documento menciona tabela antiga ou ajuste histórico</x:v>
      </x:c>
      <x:c r="E66"/>
      <x:c r="F66"/>
      <x:c r="G66" t="str">
        <x:v>MANUAL</x:v>
      </x:c>
      <x:c r="H66" t="str">
        <x:v>VALIDACAO_HISTORICA</x:v>
      </x:c>
      <x:c r="I66" t="str">
        <x:v>REVISAR_MANUAL</x:v>
      </x:c>
      <x:c r="J66" t="str">
        <x:v>TABELA MILAYDE PATRICIA.pdf</x:v>
      </x:c>
      <x:c r="K66" t="str">
        <x:v>2</x:v>
      </x:c>
      <x:c r="L66" t="str">
        <x:v>Separar da validação de frete normal e revisar a vigência/documento de origem.</x:v>
      </x:c>
    </x:row>
    <x:row r="67">
      <x:c r="A67" t="str">
        <x:v>EXTRA_RC12_MB_DEDICADO</x:v>
      </x:c>
      <x:c r="B67" t="str">
        <x:v>MB_SERVICOS_LOG</x:v>
      </x:c>
      <x:c r="C67" t="str">
        <x:v>VEICULO_DEDICADO</x:v>
      </x:c>
      <x:c r="D67" t="str">
        <x:v>Operação dedicada com valores fixos por veículo/faixa: 350/500/600/700/900/1200</x:v>
      </x:c>
      <x:c r="E67"/>
      <x:c r="F67"/>
      <x:c r="G67" t="str">
        <x:v>MANUAL</x:v>
      </x:c>
      <x:c r="H67" t="str">
        <x:v>VALIDAR_TIPO_VEICULO</x:v>
      </x:c>
      <x:c r="I67" t="str">
        <x:v>REVISAR_MANUAL</x:v>
      </x:c>
      <x:c r="J67" t="str">
        <x:v>Tabela MB LOGISTICA.pdf</x:v>
      </x:c>
      <x:c r="K67" t="str">
        <x:v>2</x:v>
      </x:c>
      <x:c r="L67" t="str">
        <x:v>Valores coincidentes devem ser classificados como EXTRA REVISAR até confirmar veículo e faixa de peso.</x:v>
      </x:c>
    </x:row>
    <x:row r="68">
      <x:c r="A68" t="str">
        <x:v>OPAL_EXTRA_0001</x:v>
      </x:c>
      <x:c r="B68" t="str">
        <x:v>OPAL</x:v>
      </x:c>
      <x:c r="C68" t="str">
        <x:v>REENTREGA</x:v>
      </x:c>
      <x:c r="D68" t="str">
        <x:v>Cobrar 50% do valor do frete de entrega.</x:v>
      </x:c>
      <x:c r="E68"/>
      <x:c r="F68" t="str">
        <x:v>50%</x:v>
      </x:c>
      <x:c r="G68" t="str">
        <x:v>ORIGINAL</x:v>
      </x:c>
      <x:c r="H68"/>
      <x:c r="I68" t="str">
        <x:v>REVISAR_OK</x:v>
      </x:c>
      <x:c r="J68" t="str">
        <x:v>TABELA_DISTRIB_AP_RODOVITOR_2026_A4.xlsx</x:v>
      </x:c>
      <x:c r="K68" t="str">
        <x:v>1</x:v>
      </x:c>
      <x:c r="L68"/>
    </x:row>
    <x:row r="69">
      <x:c r="A69" t="str">
        <x:v>OPAL_EXTRA_0002</x:v>
      </x:c>
      <x:c r="B69" t="str">
        <x:v>OPAL</x:v>
      </x:c>
      <x:c r="C69" t="str">
        <x:v>COLETA</x:v>
      </x:c>
      <x:c r="D69" t="str">
        <x:v>A OPAL não possui frota de coleta; a carga deve ser entregue na base OPAL Ananindeua com agendamento prévio.</x:v>
      </x:c>
      <x:c r="E69"/>
      <x:c r="F69"/>
      <x:c r="G69" t="str">
        <x:v>ORIGINAL</x:v>
      </x:c>
      <x:c r="H69" t="str">
        <x:v>Segunda a sexta, das 07:00 às 17:00</x:v>
      </x:c>
      <x:c r="I69" t="str">
        <x:v>REVISAR_OK</x:v>
      </x:c>
      <x:c r="J69" t="str">
        <x:v>TABELA_DISTRIB_AP_RODOVITOR_2026_A4.xlsx</x:v>
      </x:c>
      <x:c r="K69" t="str">
        <x:v>1</x:v>
      </x:c>
      <x:c r="L69"/>
    </x:row>
    <x:row r="70">
      <x:c r="A70" t="str">
        <x:v>OPAL_EXTRA_0003</x:v>
      </x:c>
      <x:c r="B70" t="str">
        <x:v>OPAL</x:v>
      </x:c>
      <x:c r="C70" t="str">
        <x:v>PLACAS_SOLARES</x:v>
      </x:c>
      <x:c r="D70" t="str">
        <x:v>Cobrar cubagem por volume e taxa de entrega no interior, a ser informada pelo redespacho.</x:v>
      </x:c>
      <x:c r="E70"/>
      <x:c r="F70"/>
      <x:c r="G70" t="str">
        <x:v>ORIGINAL</x:v>
      </x:c>
      <x:c r="H70" t="str">
        <x:v>Embarque de placas solares</x:v>
      </x:c>
      <x:c r="I70" t="str">
        <x:v>REVISAR_OK</x:v>
      </x:c>
      <x:c r="J70" t="str">
        <x:v>TABELA_DISTRIB_AP_RODOVITOR_2026_A4.xlsx</x:v>
      </x:c>
      <x:c r="K70" t="str">
        <x:v>1</x:v>
      </x:c>
      <x:c r="L70"/>
    </x:row>
    <x:row r="71">
      <x:c r="A71" t="str">
        <x:v>OPAL_EXTRA_0004</x:v>
      </x:c>
      <x:c r="B71" t="str">
        <x:v>OPAL</x:v>
      </x:c>
      <x:c r="C71" t="str">
        <x:v>VEICULO_ESPECIAL</x:v>
      </x:c>
      <x:c r="D71" t="str">
        <x:v>Munck, empilhadeira, plataforma e similares devem ser negociados previamente.</x:v>
      </x:c>
      <x:c r="E71" t="n">
        <x:v>750</x:v>
      </x:c>
      <x:c r="F71"/>
      <x:c r="G71" t="str">
        <x:v>ORIGINAL</x:v>
      </x:c>
      <x:c r="H71" t="str">
        <x:v>Valor mínimo por hora</x:v>
      </x:c>
      <x:c r="I71" t="str">
        <x:v>REVISAR_OK</x:v>
      </x:c>
      <x:c r="J71" t="str">
        <x:v>TABELA_DISTRIB_AP_RODOVITOR_2026_A4.xlsx</x:v>
      </x:c>
      <x:c r="K71" t="str">
        <x:v>1</x:v>
      </x:c>
      <x:c r="L71" t="str">
        <x:v>Mínimo de R$ 750,00 por hora.</x:v>
      </x:c>
    </x:row>
    <x:row r="72">
      <x:c r="A72" t="str">
        <x:v>OPAL_EXTRA_0005</x:v>
      </x:c>
      <x:c r="B72" t="str">
        <x:v>OPAL</x:v>
      </x:c>
      <x:c r="C72" t="str">
        <x:v>ARMAZENAGEM</x:v>
      </x:c>
      <x:c r="D72" t="str">
        <x:v>Cobrança a partir do 10º dia corrido, retroativa, por pallet e por dia.</x:v>
      </x:c>
      <x:c r="E72" t="n">
        <x:v>8</x:v>
      </x:c>
      <x:c r="F72"/>
      <x:c r="G72" t="str">
        <x:v>ORIGINAL</x:v>
      </x:c>
      <x:c r="H72" t="str">
        <x:v>A partir do 10º dia</x:v>
      </x:c>
      <x:c r="I72" t="str">
        <x:v>REVISAR_OK</x:v>
      </x:c>
      <x:c r="J72" t="str">
        <x:v>TABELA_DISTRIB_AP_RODOVITOR_2026_A4.xlsx</x:v>
      </x:c>
      <x:c r="K72" t="str">
        <x:v>1</x:v>
      </x:c>
      <x:c r="L72" t="str">
        <x:v>R$ 8,00 por pallet/dia.</x:v>
      </x:c>
    </x:row>
    <x:row r="73">
      <x:c r="A73" t="str">
        <x:v>OPAL_EXTRA_0006</x:v>
      </x:c>
      <x:c r="B73" t="str">
        <x:v>OPAL</x:v>
      </x:c>
      <x:c r="C73" t="str">
        <x:v>TDA_ZONA_RURAL</x:v>
      </x:c>
      <x:c r="D73" t="str">
        <x:v>Entrega em zona rural a partir da cidade polo do redespacho.</x:v>
      </x:c>
      <x:c r="E73" t="n">
        <x:v>8.5</x:v>
      </x:c>
      <x:c r="F73"/>
      <x:c r="G73" t="str">
        <x:v>ORIGINAL</x:v>
      </x:c>
      <x:c r="H73" t="str">
        <x:v>Por km rodado</x:v>
      </x:c>
      <x:c r="I73" t="str">
        <x:v>REVISAR_OK</x:v>
      </x:c>
      <x:c r="J73" t="str">
        <x:v>TABELA_DISTRIB_AP_RODOVITOR_2026_A4.xlsx</x:v>
      </x:c>
      <x:c r="K73" t="str">
        <x:v>1</x:v>
      </x:c>
      <x:c r="L73" t="str">
        <x:v>Cobrar R$ 8,50 por km rodado além do frete.</x:v>
      </x:c>
    </x:row>
    <x:row r="74">
      <x:c r="A74" t="str">
        <x:v>OPAL_EXTRA_0007</x:v>
      </x:c>
      <x:c r="B74" t="str">
        <x:v>OPAL</x:v>
      </x:c>
      <x:c r="C74" t="str">
        <x:v>TDE_3_4_MACAPA</x:v>
      </x:c>
      <x:c r="D74" t="str">
        <x:v>Entrega com carro 3/4 dedicado na cidade polo.</x:v>
      </x:c>
      <x:c r="E74" t="n">
        <x:v>750</x:v>
      </x:c>
      <x:c r="F74"/>
      <x:c r="G74" t="str">
        <x:v>ORIGINAL</x:v>
      </x:c>
      <x:c r="H74" t="str">
        <x:v>Macapá / MCP</x:v>
      </x:c>
      <x:c r="I74" t="str">
        <x:v>REVISAR_OK</x:v>
      </x:c>
      <x:c r="J74" t="str">
        <x:v>TABELA_DISTRIB_AP_RODOVITOR_2026_A4.xlsx</x:v>
      </x:c>
      <x:c r="K74" t="str">
        <x:v>1</x:v>
      </x:c>
      <x:c r="L74"/>
    </x:row>
    <x:row r="75">
      <x:c r="A75" t="str">
        <x:v>OPAL_EXTRA_0008</x:v>
      </x:c>
      <x:c r="B75" t="str">
        <x:v>OPAL</x:v>
      </x:c>
      <x:c r="C75" t="str">
        <x:v>TDE_INTERIOR_AP</x:v>
      </x:c>
      <x:c r="D75" t="str">
        <x:v>Entrega com carro dedicado no interior do AP.</x:v>
      </x:c>
      <x:c r="E75"/>
      <x:c r="F75"/>
      <x:c r="G75" t="str">
        <x:v>ORIGINAL</x:v>
      </x:c>
      <x:c r="H75" t="str">
        <x:v>Valor a negociar</x:v>
      </x:c>
      <x:c r="I75" t="str">
        <x:v>REVISAR_OK</x:v>
      </x:c>
      <x:c r="J75" t="str">
        <x:v>TABELA_DISTRIB_AP_RODOVITOR_2026_A4.xlsx</x:v>
      </x:c>
      <x:c r="K75" t="str">
        <x:v>1</x:v>
      </x:c>
      <x:c r="L75"/>
    </x:row>
    <x:row r="76">
      <x:c r="A76" t="str">
        <x:v>OPAL_EXTRA_0009</x:v>
      </x:c>
      <x:c r="B76" t="str">
        <x:v>OPAL</x:v>
      </x:c>
      <x:c r="C76" t="str">
        <x:v>SEGURO_FLUVIAL</x:v>
      </x:c>
      <x:c r="D76" t="str">
        <x:v>Seguro da transferência fluvial Belém/Macapá já incluído.</x:v>
      </x:c>
      <x:c r="E76"/>
      <x:c r="F76"/>
      <x:c r="G76" t="str">
        <x:v>ORIGINAL</x:v>
      </x:c>
      <x:c r="H76"/>
      <x:c r="I76" t="str">
        <x:v>REVISAR_OK</x:v>
      </x:c>
      <x:c r="J76" t="str">
        <x:v>TABELA_DISTRIB_AP_RODOVITOR_2026_A4.xlsx</x:v>
      </x:c>
      <x:c r="K76" t="str">
        <x:v>1</x:v>
      </x:c>
      <x:c r="L76"/>
    </x:row>
    <x:row r="77">
      <x:c r="A77" t="str">
        <x:v>OPAL_EXTRA_0010</x:v>
      </x:c>
      <x:c r="B77" t="str">
        <x:v>OPAL</x:v>
      </x:c>
      <x:c r="C77" t="str">
        <x:v>DEVOLUCAO_LOGISTICA_REVERSA</x:v>
      </x:c>
      <x:c r="D77" t="str">
        <x:v>Utilizar a mesma tabela de distribuição.</x:v>
      </x:c>
      <x:c r="E77"/>
      <x:c r="F77"/>
      <x:c r="G77" t="str">
        <x:v>ORIGINAL</x:v>
      </x:c>
      <x:c r="H77"/>
      <x:c r="I77" t="str">
        <x:v>REVISAR_OK</x:v>
      </x:c>
      <x:c r="J77" t="str">
        <x:v>TABELA_DISTRIB_AP_RODOVITOR_2026_A4.xlsx</x:v>
      </x:c>
      <x:c r="K77" t="str">
        <x:v>1</x:v>
      </x:c>
      <x:c r="L77"/>
    </x:row>
    <x:row r="78">
      <x:c r="A78" t="str">
        <x:v>OPAL_EXTRA_0011</x:v>
      </x:c>
      <x:c r="B78" t="str">
        <x:v>OPAL</x:v>
      </x:c>
      <x:c r="C78" t="str">
        <x:v>TAXA_DESCARGA</x:v>
      </x:c>
      <x:c r="D78" t="str">
        <x:v>Em supermercados, atacados e CDs, cobrar custo adicional conforme taxa do destinatário.</x:v>
      </x:c>
      <x:c r="E78"/>
      <x:c r="F78"/>
      <x:c r="G78" t="str">
        <x:v>ORIGINAL</x:v>
      </x:c>
      <x:c r="H78" t="str">
        <x:v>Mediante recibo do cliente</x:v>
      </x:c>
      <x:c r="I78" t="str">
        <x:v>REVISAR_OK</x:v>
      </x:c>
      <x:c r="J78" t="str">
        <x:v>TABELA_DISTRIB_AP_RODOVITOR_2026_A4.xlsx</x:v>
      </x:c>
      <x:c r="K78" t="str">
        <x:v>1</x:v>
      </x:c>
      <x:c r="L78"/>
    </x:row>
    <x:row r="79">
      <x:c r="A79" t="str">
        <x:v>OPAL_EXTRA_0012</x:v>
      </x:c>
      <x:c r="B79" t="str">
        <x:v>OPAL</x:v>
      </x:c>
      <x:c r="C79" t="str">
        <x:v>PERNOITE</x:v>
      </x:c>
      <x:c r="D79" t="str">
        <x:v>Pernoite no destinatário somente mediante negociação prévia do valor.</x:v>
      </x:c>
      <x:c r="E79"/>
      <x:c r="F79"/>
      <x:c r="G79" t="str">
        <x:v>ORIGINAL</x:v>
      </x:c>
      <x:c r="H79" t="str">
        <x:v>Negociação prévia</x:v>
      </x:c>
      <x:c r="I79" t="str">
        <x:v>REVISAR_OK</x:v>
      </x:c>
      <x:c r="J79" t="str">
        <x:v>TABELA_DISTRIB_AP_RODOVITOR_2026_A4.xlsx</x:v>
      </x:c>
      <x:c r="K79" t="str">
        <x:v>1</x:v>
      </x:c>
      <x:c r="L79"/>
    </x:row>
    <x:row r="80">
      <x:c r="A80" t="str">
        <x:v>OPAL_EXTRA_0013</x:v>
      </x:c>
      <x:c r="B80" t="str">
        <x:v>OPAL</x:v>
      </x:c>
      <x:c r="C80" t="str">
        <x:v>FATURAMENTO</x:v>
      </x:c>
      <x:c r="D80" t="str">
        <x:v>Janela de faturamento.</x:v>
      </x:c>
      <x:c r="E80" t="n">
        <x:v>7</x:v>
      </x:c>
      <x:c r="F80"/>
      <x:c r="G80" t="str">
        <x:v>ORIGINAL</x:v>
      </x:c>
      <x:c r="H80" t="str">
        <x:v>7 dias</x:v>
      </x:c>
      <x:c r="I80" t="str">
        <x:v>REVISAR_OK</x:v>
      </x:c>
      <x:c r="J80" t="str">
        <x:v>TABELA_DISTRIB_AP_RODOVITOR_2026_A4.xlsx</x:v>
      </x:c>
      <x:c r="K80" t="str">
        <x:v>1</x:v>
      </x:c>
      <x:c r="L80" t="str">
        <x:v>Forma de pagamento: fatura/boleto.</x:v>
      </x:c>
    </x:row>
    <x:row r="81">
      <x:c r="A81" t="str">
        <x:v>OPAL_EXTRA_0014</x:v>
      </x:c>
      <x:c r="B81" t="str">
        <x:v>OPAL</x:v>
      </x:c>
      <x:c r="C81" t="str">
        <x:v>PRAZO_PAGAMENTO</x:v>
      </x:c>
      <x:c r="D81" t="str">
        <x:v>Prazo para pagamento.</x:v>
      </x:c>
      <x:c r="E81" t="n">
        <x:v>10</x:v>
      </x:c>
      <x:c r="F81"/>
      <x:c r="G81" t="str">
        <x:v>ORIGINAL</x:v>
      </x:c>
      <x:c r="H81" t="str">
        <x:v>10 dias</x:v>
      </x:c>
      <x:c r="I81" t="str">
        <x:v>REVISAR_OK</x:v>
      </x:c>
      <x:c r="J81" t="str">
        <x:v>TABELA_DISTRIB_AP_RODOVITOR_2026_A4.xlsx</x:v>
      </x:c>
      <x:c r="K81" t="str">
        <x:v>1</x:v>
      </x:c>
      <x:c r="L81"/>
    </x:row>
    <x:row r="82">
      <x:c r="A82" t="str">
        <x:v>OPAL_EXTRA_0015</x:v>
      </x:c>
      <x:c r="B82" t="str">
        <x:v>OPAL</x:v>
      </x:c>
      <x:c r="C82" t="str">
        <x:v>ICMS</x:v>
      </x:c>
      <x:c r="D82" t="str">
        <x:v>ICMS incluso nos preços apresentados na tabela.</x:v>
      </x:c>
      <x:c r="E82"/>
      <x:c r="F82"/>
      <x:c r="G82" t="str">
        <x:v>ORIGINAL</x:v>
      </x:c>
      <x:c r="H82"/>
      <x:c r="I82" t="str">
        <x:v>REVISAR_OK</x:v>
      </x:c>
      <x:c r="J82" t="str">
        <x:v>TABELA_DISTRIB_AP_RODOVITOR_2026_A4.xlsx</x:v>
      </x:c>
      <x:c r="K82" t="str">
        <x:v>1</x:v>
      </x:c>
      <x:c r="L82"/>
    </x:row>
    <x:row r="83">
      <x:c r="A83" t="str">
        <x:v>OPAL_EXTRA_0016</x:v>
      </x:c>
      <x:c r="B83" t="str">
        <x:v>OPAL</x:v>
      </x:c>
      <x:c r="C83" t="str">
        <x:v>EMISSAO_CTE</x:v>
      </x:c>
      <x:c r="D83" t="str">
        <x:v>Tipo de emissão do CT-e: subcontratação.</x:v>
      </x:c>
      <x:c r="E83"/>
      <x:c r="F83"/>
      <x:c r="G83" t="str">
        <x:v>ORIGINAL</x:v>
      </x:c>
      <x:c r="H83"/>
      <x:c r="I83" t="str">
        <x:v>REVISAR_OK</x:v>
      </x:c>
      <x:c r="J83" t="str">
        <x:v>TABELA_DISTRIB_AP_RODOVITOR_2026_A4.xlsx</x:v>
      </x:c>
      <x:c r="K83" t="str">
        <x:v>1</x:v>
      </x:c>
      <x:c r="L83"/>
    </x:row>
    <x:row r="84">
      <x:c r="A84" t="str">
        <x:v>OPAL_EXTRA_0017</x:v>
      </x:c>
      <x:c r="B84" t="str">
        <x:v>OPAL</x:v>
      </x:c>
      <x:c r="C84" t="str">
        <x:v>CANHOTO</x:v>
      </x:c>
      <x:c r="D84" t="str">
        <x:v>Canhoto de entrega devolvido com assinatura comprovando a entrega.</x:v>
      </x:c>
      <x:c r="E84"/>
      <x:c r="F84"/>
      <x:c r="G84" t="str">
        <x:v>ORIGINAL</x:v>
      </x:c>
      <x:c r="H84"/>
      <x:c r="I84" t="str">
        <x:v>REVISAR_OK</x:v>
      </x:c>
      <x:c r="J84" t="str">
        <x:v>TABELA_DISTRIB_AP_RODOVITOR_2026_A4.xlsx</x:v>
      </x:c>
      <x:c r="K84" t="str">
        <x:v>1</x:v>
      </x:c>
      <x:c r="L84"/>
    </x:row>
    <x:row r="85">
      <x:c r="A85" t="str">
        <x:v>OPAL_EXTRA_0018</x:v>
      </x:c>
      <x:c r="B85" t="str">
        <x:v>OPAL</x:v>
      </x:c>
      <x:c r="C85" t="str">
        <x:v>DESEMBARACO_FISCAL</x:v>
      </x:c>
      <x:c r="D85" t="str">
        <x:v>Serviço de desembaraço fiscal na SEFAZ já incluído.</x:v>
      </x:c>
      <x:c r="E85"/>
      <x:c r="F85"/>
      <x:c r="G85" t="str">
        <x:v>ORIGINAL</x:v>
      </x:c>
      <x:c r="H85"/>
      <x:c r="I85" t="str">
        <x:v>REVISAR_OK</x:v>
      </x:c>
      <x:c r="J85" t="str">
        <x:v>TABELA_DISTRIB_AP_RODOVITOR_2026_A4.xlsx</x:v>
      </x:c>
      <x:c r="K85" t="str">
        <x:v>1</x:v>
      </x:c>
      <x:c r="L85"/>
    </x:row>
    <x:row r="86">
      <x:c r="A86" t="str">
        <x:v>OPAL_EXTRA_0019</x:v>
      </x:c>
      <x:c r="B86" t="str">
        <x:v>OPAL</x:v>
      </x:c>
      <x:c r="C86" t="str">
        <x:v>ACESSOS_SISTEMA</x:v>
      </x:c>
      <x:c r="D86" t="str">
        <x:v>Acessos ao sistema para baixa, digitalização de documentos e lançamento de OCC já incluídos.</x:v>
      </x:c>
      <x:c r="E86"/>
      <x:c r="F86"/>
      <x:c r="G86" t="str">
        <x:v>ORIGINAL</x:v>
      </x:c>
      <x:c r="H86"/>
      <x:c r="I86" t="str">
        <x:v>REVISAR_OK</x:v>
      </x:c>
      <x:c r="J86" t="str">
        <x:v>TABELA_DISTRIB_AP_RODOVITOR_2026_A4.xlsx</x:v>
      </x:c>
      <x:c r="K86" t="str">
        <x:v>1</x:v>
      </x:c>
      <x:c r="L86"/>
    </x:row>
    <x:row r="87">
      <x:c r="A87" t="str">
        <x:v>OPAL_EXTRA_0020</x:v>
      </x:c>
      <x:c r="B87" t="str">
        <x:v>OPAL</x:v>
      </x:c>
      <x:c r="C87" t="str">
        <x:v>CUBAGEM</x:v>
      </x:c>
      <x:c r="D87" t="str">
        <x:v>Utilizar razão de cubagem de 300 kg/m³.</x:v>
      </x:c>
      <x:c r="E87" t="n">
        <x:v>300</x:v>
      </x:c>
      <x:c r="F87"/>
      <x:c r="G87" t="str">
        <x:v>ORIGINAL</x:v>
      </x:c>
      <x:c r="H87" t="str">
        <x:v>300 kg/m³</x:v>
      </x:c>
      <x:c r="I87" t="str">
        <x:v>REVISAR_OK</x:v>
      </x:c>
      <x:c r="J87" t="str">
        <x:v>TABELA_DISTRIB_AP_RODOVITOR_2026_A4.xlsx</x:v>
      </x:c>
      <x:c r="K87" t="str">
        <x:v>1</x:v>
      </x:c>
      <x:c r="L87"/>
    </x:row>
    <x:row r="88">
      <x:c r="A88" t="str">
        <x:v>ACV_EXTRA_0001</x:v>
      </x:c>
      <x:c r="B88" t="str">
        <x:v>AC_LOG_C_VARGAS</x:v>
      </x:c>
      <x:c r="C88" t="str">
        <x:v>ARMAZENAGEM</x:v>
      </x:c>
      <x:c r="D88" t="str">
        <x:v>Cobrança após 15 dias.</x:v>
      </x:c>
      <x:c r="E88" t="n">
        <x:v>52.57</x:v>
      </x:c>
      <x:c r="F88"/>
      <x:c r="G88" t="str">
        <x:v>ORIGINAL</x:v>
      </x:c>
      <x:c r="H88" t="str">
        <x:v>R$/m³ por mês</x:v>
      </x:c>
      <x:c r="I88" t="str">
        <x:v>REVISAR_OK</x:v>
      </x:c>
      <x:c r="J88" t="str">
        <x:v>TABELA_AC_LOG_C_VARGAS_DISTRIBUICAO_AP_2025.pdf</x:v>
      </x:c>
      <x:c r="K88" t="str">
        <x:v>1</x:v>
      </x:c>
      <x:c r="L88"/>
    </x:row>
    <x:row r="89">
      <x:c r="A89" t="str">
        <x:v>ACV_EXTRA_0002</x:v>
      </x:c>
      <x:c r="B89" t="str">
        <x:v>AC_LOG_C_VARGAS</x:v>
      </x:c>
      <x:c r="C89" t="str">
        <x:v>AD_VALOREM</x:v>
      </x:c>
      <x:c r="D89" t="str">
        <x:v>Ad valorem sobre o valor da mercadoria.</x:v>
      </x:c>
      <x:c r="E89"/>
      <x:c r="F89" t="str">
        <x:v>0,25%</x:v>
      </x:c>
      <x:c r="G89" t="str">
        <x:v>MERCADORIA</x:v>
      </x:c>
      <x:c r="H89"/>
      <x:c r="I89" t="str">
        <x:v>REVISAR_OK</x:v>
      </x:c>
      <x:c r="J89" t="str">
        <x:v>TABELA_AC_LOG_C_VARGAS_DISTRIBUICAO_AP_2025.pdf</x:v>
      </x:c>
      <x:c r="K89" t="str">
        <x:v>1</x:v>
      </x:c>
      <x:c r="L89"/>
    </x:row>
    <x:row r="90">
      <x:c r="A90" t="str">
        <x:v>ACV_EXTRA_0003</x:v>
      </x:c>
      <x:c r="B90" t="str">
        <x:v>AC_LOG_C_VARGAS</x:v>
      </x:c>
      <x:c r="C90" t="str">
        <x:v>GRIS</x:v>
      </x:c>
      <x:c r="D90" t="str">
        <x:v>GRIS da tabela.</x:v>
      </x:c>
      <x:c r="E90"/>
      <x:c r="F90" t="str">
        <x:v>0,20%</x:v>
      </x:c>
      <x:c r="G90" t="str">
        <x:v>MERCADORIA</x:v>
      </x:c>
      <x:c r="H90"/>
      <x:c r="I90" t="str">
        <x:v>REVISAR_OK</x:v>
      </x:c>
      <x:c r="J90" t="str">
        <x:v>TABELA_AC_LOG_C_VARGAS_DISTRIBUICAO_AP_2025.pdf</x:v>
      </x:c>
      <x:c r="K90" t="str">
        <x:v>1</x:v>
      </x:c>
      <x:c r="L90"/>
    </x:row>
    <x:row r="91">
      <x:c r="A91" t="str">
        <x:v>ACV_EXTRA_0004</x:v>
      </x:c>
      <x:c r="B91" t="str">
        <x:v>AC_LOG_C_VARGAS</x:v>
      </x:c>
      <x:c r="C91" t="str">
        <x:v>DEVOLUCAO</x:v>
      </x:c>
      <x:c r="D91" t="str">
        <x:v>Cobrar 100% da tabela após 15 dias.</x:v>
      </x:c>
      <x:c r="E91"/>
      <x:c r="F91" t="str">
        <x:v>100%</x:v>
      </x:c>
      <x:c r="G91" t="str">
        <x:v>ORIGINAL</x:v>
      </x:c>
      <x:c r="H91" t="str">
        <x:v>&gt; 15 dias</x:v>
      </x:c>
      <x:c r="I91" t="str">
        <x:v>REVISAR_OK</x:v>
      </x:c>
      <x:c r="J91" t="str">
        <x:v>TABELA_AC_LOG_C_VARGAS_DISTRIBUICAO_AP_2025.pdf</x:v>
      </x:c>
      <x:c r="K91" t="str">
        <x:v>1</x:v>
      </x:c>
      <x:c r="L91"/>
    </x:row>
    <x:row r="92">
      <x:c r="A92" t="str">
        <x:v>ACV_EXTRA_0005</x:v>
      </x:c>
      <x:c r="B92" t="str">
        <x:v>AC_LOG_C_VARGAS</x:v>
      </x:c>
      <x:c r="C92" t="str">
        <x:v>REENTREGA</x:v>
      </x:c>
      <x:c r="D92" t="str">
        <x:v>Cobrar 50% da tabela.</x:v>
      </x:c>
      <x:c r="E92"/>
      <x:c r="F92" t="str">
        <x:v>50%</x:v>
      </x:c>
      <x:c r="G92" t="str">
        <x:v>ORIGINAL</x:v>
      </x:c>
      <x:c r="H92"/>
      <x:c r="I92" t="str">
        <x:v>REVISAR_OK</x:v>
      </x:c>
      <x:c r="J92" t="str">
        <x:v>TABELA_AC_LOG_C_VARGAS_DISTRIBUICAO_AP_2025.pdf</x:v>
      </x:c>
      <x:c r="K92" t="str">
        <x:v>1</x:v>
      </x:c>
      <x:c r="L92"/>
    </x:row>
    <x:row r="93">
      <x:c r="A93" t="str">
        <x:v>ACV_EXTRA_0006</x:v>
      </x:c>
      <x:c r="B93" t="str">
        <x:v>AC_LOG_C_VARGAS</x:v>
      </x:c>
      <x:c r="C93" t="str">
        <x:v>PICKING</x:v>
      </x:c>
      <x:c r="D93" t="str">
        <x:v>Picking por volume.</x:v>
      </x:c>
      <x:c r="E93" t="n">
        <x:v>0.35</x:v>
      </x:c>
      <x:c r="F93"/>
      <x:c r="G93" t="str">
        <x:v>ORIGINAL</x:v>
      </x:c>
      <x:c r="H93" t="str">
        <x:v>R$/volume</x:v>
      </x:c>
      <x:c r="I93" t="str">
        <x:v>REVISAR_OK</x:v>
      </x:c>
      <x:c r="J93" t="str">
        <x:v>TABELA_AC_LOG_C_VARGAS_DISTRIBUICAO_AP_2025.pdf</x:v>
      </x:c>
      <x:c r="K93" t="str">
        <x:v>1</x:v>
      </x:c>
      <x:c r="L93" t="str">
        <x:v>Isento apenas para o fornecedor Colgate, conforme observação da tabela.</x:v>
      </x:c>
    </x:row>
    <x:row r="94">
      <x:c r="A94" t="str">
        <x:v>ACV_EXTRA_0007</x:v>
      </x:c>
      <x:c r="B94" t="str">
        <x:v>AC_LOG_C_VARGAS</x:v>
      </x:c>
      <x:c r="C94" t="str">
        <x:v>DIARIA_FURGAO</x:v>
      </x:c>
      <x:c r="D94" t="str">
        <x:v>Diária de furgão após 3 horas.</x:v>
      </x:c>
      <x:c r="E94" t="n">
        <x:v>300</x:v>
      </x:c>
      <x:c r="F94"/>
      <x:c r="G94" t="str">
        <x:v>ORIGINAL</x:v>
      </x:c>
      <x:c r="H94" t="str">
        <x:v>&gt; 3 horas</x:v>
      </x:c>
      <x:c r="I94" t="str">
        <x:v>REVISAR_OK</x:v>
      </x:c>
      <x:c r="J94" t="str">
        <x:v>TABELA_AC_LOG_C_VARGAS_DISTRIBUICAO_AP_2025.pdf</x:v>
      </x:c>
      <x:c r="K94" t="str">
        <x:v>1</x:v>
      </x:c>
      <x:c r="L94"/>
    </x:row>
    <x:row r="95">
      <x:c r="A95" t="str">
        <x:v>ACV_EXTRA_0008</x:v>
      </x:c>
      <x:c r="B95" t="str">
        <x:v>AC_LOG_C_VARGAS</x:v>
      </x:c>
      <x:c r="C95" t="str">
        <x:v>DIARIA_VUC_3_4</x:v>
      </x:c>
      <x:c r="D95" t="str">
        <x:v>Diária de VUC 3/4 após 3 horas.</x:v>
      </x:c>
      <x:c r="E95" t="n">
        <x:v>500</x:v>
      </x:c>
      <x:c r="F95"/>
      <x:c r="G95" t="str">
        <x:v>ORIGINAL</x:v>
      </x:c>
      <x:c r="H95" t="str">
        <x:v>&gt; 3 horas</x:v>
      </x:c>
      <x:c r="I95" t="str">
        <x:v>REVISAR_OK</x:v>
      </x:c>
      <x:c r="J95" t="str">
        <x:v>TABELA_AC_LOG_C_VARGAS_DISTRIBUICAO_AP_2025.pdf</x:v>
      </x:c>
      <x:c r="K95" t="str">
        <x:v>1</x:v>
      </x:c>
      <x:c r="L95"/>
    </x:row>
    <x:row r="96">
      <x:c r="A96" t="str">
        <x:v>ACV_EXTRA_0009</x:v>
      </x:c>
      <x:c r="B96" t="str">
        <x:v>AC_LOG_C_VARGAS</x:v>
      </x:c>
      <x:c r="C96" t="str">
        <x:v>DIARIA_TOCO</x:v>
      </x:c>
      <x:c r="D96" t="str">
        <x:v>Diária de toco após 3 horas.</x:v>
      </x:c>
      <x:c r="E96" t="n">
        <x:v>700</x:v>
      </x:c>
      <x:c r="F96"/>
      <x:c r="G96" t="str">
        <x:v>ORIGINAL</x:v>
      </x:c>
      <x:c r="H96" t="str">
        <x:v>&gt; 3 horas</x:v>
      </x:c>
      <x:c r="I96" t="str">
        <x:v>REVISAR_OK</x:v>
      </x:c>
      <x:c r="J96" t="str">
        <x:v>TABELA_AC_LOG_C_VARGAS_DISTRIBUICAO_AP_2025.pdf</x:v>
      </x:c>
      <x:c r="K96" t="str">
        <x:v>1</x:v>
      </x:c>
      <x:c r="L96"/>
    </x:row>
    <x:row r="97">
      <x:c r="A97" t="str">
        <x:v>ACV_EXTRA_0010</x:v>
      </x:c>
      <x:c r="B97" t="str">
        <x:v>AC_LOG_C_VARGAS</x:v>
      </x:c>
      <x:c r="C97" t="str">
        <x:v>DIARIA_CARRETA</x:v>
      </x:c>
      <x:c r="D97" t="str">
        <x:v>Diária de carreta após 3 horas.</x:v>
      </x:c>
      <x:c r="E97" t="n">
        <x:v>800</x:v>
      </x:c>
      <x:c r="F97"/>
      <x:c r="G97" t="str">
        <x:v>ORIGINAL</x:v>
      </x:c>
      <x:c r="H97" t="str">
        <x:v>&gt; 3 horas</x:v>
      </x:c>
      <x:c r="I97" t="str">
        <x:v>REVISAR_OK</x:v>
      </x:c>
      <x:c r="J97" t="str">
        <x:v>TABELA_AC_LOG_C_VARGAS_DISTRIBUICAO_AP_2025.pdf</x:v>
      </x:c>
      <x:c r="K97" t="str">
        <x:v>1</x:v>
      </x:c>
      <x:c r="L97"/>
    </x:row>
    <x:row r="98">
      <x:c r="A98" t="str">
        <x:v>ACV_EXTRA_0011</x:v>
      </x:c>
      <x:c r="B98" t="str">
        <x:v>AC_LOG_C_VARGAS</x:v>
      </x:c>
      <x:c r="C98" t="str">
        <x:v>CONFERENTE</x:v>
      </x:c>
      <x:c r="D98" t="str">
        <x:v>Diária/custo de conferente.</x:v>
      </x:c>
      <x:c r="E98" t="n">
        <x:v>120</x:v>
      </x:c>
      <x:c r="F98"/>
      <x:c r="G98" t="str">
        <x:v>ORIGINAL</x:v>
      </x:c>
      <x:c r="H98"/>
      <x:c r="I98" t="str">
        <x:v>REVISAR_OK</x:v>
      </x:c>
      <x:c r="J98" t="str">
        <x:v>TABELA_AC_LOG_C_VARGAS_DISTRIBUICAO_AP_2025.pdf</x:v>
      </x:c>
      <x:c r="K98" t="str">
        <x:v>1</x:v>
      </x:c>
      <x:c r="L98"/>
    </x:row>
    <x:row r="99">
      <x:c r="A99" t="str">
        <x:v>ACV_EXTRA_0012</x:v>
      </x:c>
      <x:c r="B99" t="str">
        <x:v>AC_LOG_C_VARGAS</x:v>
      </x:c>
      <x:c r="C99" t="str">
        <x:v>FATURAMENTO</x:v>
      </x:c>
      <x:c r="D99" t="str">
        <x:v>Janela de faturamento.</x:v>
      </x:c>
      <x:c r="E99" t="n">
        <x:v>7</x:v>
      </x:c>
      <x:c r="F99"/>
      <x:c r="G99" t="str">
        <x:v>ORIGINAL</x:v>
      </x:c>
      <x:c r="H99" t="str">
        <x:v>7 dias</x:v>
      </x:c>
      <x:c r="I99" t="str">
        <x:v>REVISAR_OK</x:v>
      </x:c>
      <x:c r="J99" t="str">
        <x:v>TABELA_AC_LOG_C_VARGAS_DISTRIBUICAO_AP_2025.pdf</x:v>
      </x:c>
      <x:c r="K99" t="str">
        <x:v>1</x:v>
      </x:c>
      <x:c r="L99"/>
    </x:row>
    <x:row r="100">
      <x:c r="A100" t="str">
        <x:v>ACV_EXTRA_0013</x:v>
      </x:c>
      <x:c r="B100" t="str">
        <x:v>AC_LOG_C_VARGAS</x:v>
      </x:c>
      <x:c r="C100" t="str">
        <x:v>PRAZO_PAGAMENTO</x:v>
      </x:c>
      <x:c r="D100" t="str">
        <x:v>Prazo de pagamento.</x:v>
      </x:c>
      <x:c r="E100" t="n">
        <x:v>15</x:v>
      </x:c>
      <x:c r="F100"/>
      <x:c r="G100" t="str">
        <x:v>ORIGINAL</x:v>
      </x:c>
      <x:c r="H100" t="str">
        <x:v>15 dias</x:v>
      </x:c>
      <x:c r="I100" t="str">
        <x:v>REVISAR_OK</x:v>
      </x:c>
      <x:c r="J100" t="str">
        <x:v>TABELA_AC_LOG_C_VARGAS_DISTRIBUICAO_AP_2025.pdf</x:v>
      </x:c>
      <x:c r="K100" t="str">
        <x:v>1</x:v>
      </x:c>
      <x:c r="L100"/>
    </x:row>
    <x:row r="101">
      <x:c r="A101" t="str">
        <x:v>ACV_EXTRA_0014</x:v>
      </x:c>
      <x:c r="B101" t="str">
        <x:v>AC_LOG_C_VARGAS</x:v>
      </x:c>
      <x:c r="C101" t="str">
        <x:v>POLO_ACIMA_8000KG</x:v>
      </x:c>
      <x:c r="D101" t="str">
        <x:v>Faixa de polo acima de 8.000 kg: frete por tonelada e ad valorem.</x:v>
      </x:c>
      <x:c r="E101" t="n">
        <x:v>210.26</x:v>
      </x:c>
      <x:c r="F101" t="str">
        <x:v>1,20%</x:v>
      </x:c>
      <x:c r="G101" t="str">
        <x:v>MERCADORIA</x:v>
      </x:c>
      <x:c r="H101" t="str">
        <x:v>Acima de 8.000 kg</x:v>
      </x:c>
      <x:c r="I101" t="str">
        <x:v>REVISAR_AUTOMACAO</x:v>
      </x:c>
      <x:c r="J101" t="str">
        <x:v>TABELA_AC_LOG_C_VARGAS_DISTRIBUICAO_AP_2025.pdf</x:v>
      </x:c>
      <x:c r="K101" t="str">
        <x:v>1</x:v>
      </x:c>
      <x:c r="L101" t="str">
        <x:v>Frete % impresso como 0%; R$ 210,26/ton. Mantido como regra informativa até suporte seguro a faixas progressivas.</x:v>
      </x:c>
    </x:row>
    <x:row r="102">
      <x:c r="A102" t="str">
        <x:v>ACV_EXTRA_0015</x:v>
      </x:c>
      <x:c r="B102" t="str">
        <x:v>AC_LOG_C_VARGAS</x:v>
      </x:c>
      <x:c r="C102" t="str">
        <x:v>POLO_ACIMA_18000KG</x:v>
      </x:c>
      <x:c r="D102" t="str">
        <x:v>Faixa de polo acima de 18.000 kg: frete por tonelada e ad valorem.</x:v>
      </x:c>
      <x:c r="E102" t="n">
        <x:v>178.72</x:v>
      </x:c>
      <x:c r="F102" t="str">
        <x:v>1,20%</x:v>
      </x:c>
      <x:c r="G102" t="str">
        <x:v>MERCADORIA</x:v>
      </x:c>
      <x:c r="H102" t="str">
        <x:v>Acima de 18.000 kg</x:v>
      </x:c>
      <x:c r="I102" t="str">
        <x:v>REVISAR_AUTOMACAO</x:v>
      </x:c>
      <x:c r="J102" t="str">
        <x:v>TABELA_AC_LOG_C_VARGAS_DISTRIBUICAO_AP_2025.pdf</x:v>
      </x:c>
      <x:c r="K102" t="str">
        <x:v>1</x:v>
      </x:c>
      <x:c r="L102" t="str">
        <x:v>Frete % impresso como 0%; R$ 178,72/ton. Mantido como regra informativa até suporte seguro a faixas progressivas.</x:v>
      </x:c>
    </x:row>
    <x:row r="103">
      <x:c r="A103" t="str">
        <x:v>ACV_EXTRA_0016</x:v>
      </x:c>
      <x:c r="B103" t="str">
        <x:v>AC_LOG_C_VARGAS</x:v>
      </x:c>
      <x:c r="C103" t="str">
        <x:v>POLO_ACIMA_32000KG</x:v>
      </x:c>
      <x:c r="D103" t="str">
        <x:v>Faixa de polo acima de 32.000 kg: frete por tonelada e ad valorem.</x:v>
      </x:c>
      <x:c r="E103" t="n">
        <x:v>147.18</x:v>
      </x:c>
      <x:c r="F103" t="str">
        <x:v>1,20%</x:v>
      </x:c>
      <x:c r="G103" t="str">
        <x:v>MERCADORIA</x:v>
      </x:c>
      <x:c r="H103" t="str">
        <x:v>Acima de 32.000 kg</x:v>
      </x:c>
      <x:c r="I103" t="str">
        <x:v>REVISAR_AUTOMACAO</x:v>
      </x:c>
      <x:c r="J103" t="str">
        <x:v>TABELA_AC_LOG_C_VARGAS_DISTRIBUICAO_AP_2025.pdf</x:v>
      </x:c>
      <x:c r="K103" t="str">
        <x:v>1</x:v>
      </x:c>
      <x:c r="L103" t="str">
        <x:v>Frete % impresso como 0%; R$ 147,18/ton. Mantido como regra informativa até suporte seguro a faixas progressivas.</x:v>
      </x:c>
    </x:row>
    <x:row r="104">
      <x:c r="A104" t="str">
        <x:v>MMT_EXTRA_0001</x:v>
      </x:c>
      <x:c r="B104" t="str">
        <x:v>M_M_TRANSPORTES</x:v>
      </x:c>
      <x:c r="C104" t="str">
        <x:v>COTACAO_AUTORIZADA</x:v>
      </x:c>
      <x:c r="D104" t="str">
        <x:v>Cobrança fora da tabela com autorização explícita informada no XML ou comprovante interno.</x:v>
      </x:c>
      <x:c r="E104"/>
      <x:c r="F104"/>
      <x:c r="G104" t="str">
        <x:v>ORIGINAL</x:v>
      </x:c>
      <x:c r="H104" t="str">
        <x:v>Texto contém COTAÇÃO e AUTORIZADA</x:v>
      </x:c>
      <x:c r="I104" t="str">
        <x:v>REVISAR_AUTORIZACAO</x:v>
      </x:c>
      <x:c r="J104" t="str">
        <x:v>TABELA_M_E_M_TRANSPORTES_ROTA1_2026.pdf</x:v>
      </x:c>
      <x:c r="K104" t="str">
        <x:v>1</x:v>
      </x:c>
      <x:c r="L104" t="str">
        <x:v>Separar da regra de 35%; liberar somente por autorização manual registrada.</x:v>
      </x:c>
    </x:row>
    <x:row r="105">
      <x:c r="A105" t="str">
        <x:v>MMT_EXTRA_0002</x:v>
      </x:c>
      <x:c r="B105" t="str">
        <x:v>M_M_TRANSPORTES</x:v>
      </x:c>
      <x:c r="C105" t="str">
        <x:v>COTACAO_ESPECIAL</x:v>
      </x:c>
      <x:c r="D105" t="str">
        <x:v>Frete especial/cotação para carga ou operação fora da tabela padrão.</x:v>
      </x:c>
      <x:c r="E105"/>
      <x:c r="F105"/>
      <x:c r="G105" t="str">
        <x:v>ORIGINAL</x:v>
      </x:c>
      <x:c r="H105" t="str">
        <x:v>Texto contém FRETE REF. e COT.</x:v>
      </x:c>
      <x:c r="I105" t="str">
        <x:v>REVISAR_AUTORIZACAO</x:v>
      </x:c>
      <x:c r="J105" t="str">
        <x:v>TABELA_M_E_M_TRANSPORTES_ROTA1_2026.pdf</x:v>
      </x:c>
      <x:c r="K105" t="str">
        <x:v>1</x:v>
      </x:c>
      <x:c r="L105" t="str">
        <x:v>Separar da regra de 35%; liberar somente por autorização manual registrada.</x:v>
      </x:c>
    </x:row>
  </x:sheetData>
  <x:pageMargins left="0.7" right="0.7" top="0.75" bottom="0.75" header="0.3" footer="0.3"/>
  <x:tableParts count="1">
    <x:tablePart xmlns:r="http://schemas.openxmlformats.org/officeDocument/2006/relationships" r:id="Reb74b95a629c42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30" hidden="0" customWidth="1"/>
    <x:col min="10" max="10" width="8" hidden="0" customWidth="1"/>
    <x:col min="11" max="11" width="18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20" hidden="0" customWidth="1"/>
    <x:col min="25" max="25" width="14" hidden="0" customWidth="1"/>
    <x:col min="26" max="26" width="18" hidden="0" customWidth="1"/>
    <x:col min="27" max="27" width="42" hidden="0" customWidth="1"/>
  </x:cols>
  <x:sheetData>
    <x:row r="1" ht="30" customHeight="1">
      <x:c r="A1" s="65" t="str">
        <x:v>Região ID</x:v>
      </x:c>
      <x:c r="B1" s="65" t="str">
        <x:v>Parceiro ID</x:v>
      </x:c>
      <x:c r="C1" s="65" t="str">
        <x:v>Região/Base</x:v>
      </x:c>
      <x:c r="D1" s="65" t="str">
        <x:v>Cidade</x:v>
      </x:c>
      <x:c r="E1" s="65" t="str">
        <x:v>UF</x:v>
      </x:c>
      <x:c r="F1" s="65" t="str">
        <x:v>Percentual Default</x:v>
      </x:c>
      <x:c r="G1" s="65" t="str">
        <x:v>Frete Mínimo Default</x:v>
      </x:c>
      <x:c r="H1" s="65" t="str">
        <x:v>Prazo Default</x:v>
      </x:c>
      <x:c r="I1" s="65" t="str">
        <x:v>Fonte PDF</x:v>
      </x:c>
      <x:c r="J1" s="65" t="str">
        <x:v>Página</x:v>
      </x:c>
      <x:c r="K1" s="65" t="str">
        <x:v>Status Revisão</x:v>
      </x:c>
      <x:c r="L1" s="69" t="str">
        <x:v>Tonelagem Mínima (R$/Ton)</x:v>
      </x:c>
      <x:c r="M1" s="69" t="str">
        <x:v>Modal</x:v>
      </x:c>
      <x:c r="N1" s="69" t="str">
        <x:v>Data Proposta</x:v>
      </x:c>
      <x:c r="O1" s="69" t="str">
        <x:v>Observação Conferência</x:v>
      </x:c>
      <x:c r="P1" s="72" t="str">
        <x:v>Base Cálculo</x:v>
      </x:c>
      <x:c r="Q1" s="94" t="str">
        <x:v>GRIS Ativo</x:v>
      </x:c>
      <x:c r="R1" s="94" t="str">
        <x:v>Percentual GRIS</x:v>
      </x:c>
      <x:c r="S1" s="94" t="str">
        <x:v>Pedágio Ativo</x:v>
      </x:c>
      <x:c r="T1" s="94" t="str">
        <x:v>Valor Pedágio</x:v>
      </x:c>
      <x:c r="U1" s="94" t="str">
        <x:v>Fração Pedágio KG</x:v>
      </x:c>
      <x:c r="V1" s="94" t="str">
        <x:v>Controle DACTE</x:v>
      </x:c>
      <x:c r="W1" s="94" t="str">
        <x:v>Nome Controle</x:v>
      </x:c>
      <x:c r="X1" s="103" t="str">
        <x:v>Tipo Cálculo Compacto</x:v>
      </x:c>
      <x:c r="Y1" s="103" t="str">
        <x:v>Tipo Pedágio</x:v>
      </x:c>
      <x:c r="Z1" s="103" t="str">
        <x:v>Fonte Controle Compacto</x:v>
      </x:c>
      <x:c r="AA1" s="103" t="str">
        <x:v>Observação Controle</x:v>
      </x:c>
    </x:row>
    <x:row r="2">
      <x:c r="A2" s="14" t="str">
        <x:v>REG_0001</x:v>
      </x:c>
      <x:c r="B2" s="14" t="str">
        <x:v>MB_AMAZONIA</x:v>
      </x:c>
      <x:c r="C2" s="14" t="str">
        <x:v>Tabela 01</x:v>
      </x:c>
      <x:c r="D2" s="14" t="str">
        <x:v>STN e MCP</x:v>
      </x:c>
      <x:c r="E2" s="14"/>
      <x:c r="F2" s="14" t="str">
        <x:v>23%</x:v>
      </x:c>
      <x:c r="G2" s="14" t="n">
        <x:v>70</x:v>
      </x:c>
      <x:c r="H2" s="14"/>
      <x:c r="I2" s="14" t="str">
        <x:v>doc20621120260704143158.pdf</x:v>
      </x:c>
      <x:c r="J2" s="14" t="str">
        <x:v>1</x:v>
      </x:c>
      <x:c r="K2" s="14" t="str">
        <x:v>REVISAR_OK</x:v>
      </x:c>
      <x:c r="L2"/>
      <x:c r="M2"/>
      <x:c r="N2"/>
      <x:c r="O2"/>
      <x:c r="P2"/>
      <x:c r="Q2"/>
      <x:c r="R2"/>
      <x:c r="S2"/>
      <x:c r="T2"/>
      <x:c r="U2"/>
      <x:c r="V2" t="str">
        <x:v>SIM</x:v>
      </x:c>
      <x:c r="W2" t="str">
        <x:v>MB AMAZÔNIA</x:v>
      </x:c>
      <x:c r="X2" s="12" t="str">
        <x:v>PERCENTUAL</x:v>
      </x:c>
      <x:c r="Y2" s="12"/>
      <x:c r="Z2" s="12" t="str">
        <x:v>2.6.44</x:v>
      </x:c>
      <x:c r="AA2" s="12" t="str">
        <x:v>Frete base × percentual; aplicar frete mínimo quando maior. Bloco percentual ativado; controle visual passivo.</x:v>
      </x:c>
    </x:row>
    <x:row r="3">
      <x:c r="A3" s="14" t="str">
        <x:v>REG_0002</x:v>
      </x:c>
      <x:c r="B3" s="14" t="str">
        <x:v>MB_AMAZONIA</x:v>
      </x:c>
      <x:c r="C3" s="14" t="str">
        <x:v>Tabela 01</x:v>
      </x:c>
      <x:c r="D3" s="14" t="str">
        <x:v>Interiores-AP</x:v>
      </x:c>
      <x:c r="E3" s="14" t="str">
        <x:v>AP</x:v>
      </x:c>
      <x:c r="F3" s="14" t="str">
        <x:v>27%</x:v>
      </x:c>
      <x:c r="G3" s="14" t="n">
        <x:v>250</x:v>
      </x:c>
      <x:c r="H3" s="14"/>
      <x:c r="I3" s="14" t="str">
        <x:v>doc20621120260704143158.pdf</x:v>
      </x:c>
      <x:c r="J3" s="14" t="str">
        <x:v>1</x:v>
      </x:c>
      <x:c r="K3" s="14" t="str">
        <x:v>REVISAR_OK</x:v>
      </x:c>
      <x:c r="L3"/>
      <x:c r="M3"/>
      <x:c r="N3"/>
      <x:c r="O3"/>
      <x:c r="P3"/>
      <x:c r="Q3"/>
      <x:c r="R3"/>
      <x:c r="S3"/>
      <x:c r="T3"/>
      <x:c r="U3"/>
      <x:c r="V3" t="str">
        <x:v>SIM</x:v>
      </x:c>
      <x:c r="W3" t="str">
        <x:v>MB AMAZÔNIA</x:v>
      </x:c>
      <x:c r="X3" s="12" t="str">
        <x:v>PERCENTUAL</x:v>
      </x:c>
      <x:c r="Y3" s="12"/>
      <x:c r="Z3" s="12" t="str">
        <x:v>2.6.44</x:v>
      </x:c>
      <x:c r="AA3" s="12" t="str">
        <x:v>Frete base × percentual; aplicar frete mínimo quando maior. Bloco percentual ativado; controle visual passivo.</x:v>
      </x:c>
    </x:row>
    <x:row r="4">
      <x:c r="A4" s="14" t="str">
        <x:v>REG_0003</x:v>
      </x:c>
      <x:c r="B4" s="14" t="str">
        <x:v>MB_AMAZONIA</x:v>
      </x:c>
      <x:c r="C4" s="14" t="str">
        <x:v>Tabela 02</x:v>
      </x:c>
      <x:c r="D4" s="14" t="str">
        <x:v>Cliente COLGATE / P&amp;G / BNB SIMÕES / OUTROS</x:v>
      </x:c>
      <x:c r="E4" s="14"/>
      <x:c r="F4" s="14"/>
      <x:c r="G4" s="14" t="n">
        <x:v>3500</x:v>
      </x:c>
      <x:c r="H4" s="14"/>
      <x:c r="I4" s="14" t="str">
        <x:v>doc20621120260704143158.pdf</x:v>
      </x:c>
      <x:c r="J4" s="14" t="str">
        <x:v>1</x:v>
      </x:c>
      <x:c r="K4" s="14" t="str">
        <x:v>REVISAR_OK</x:v>
      </x:c>
      <x:c r="L4"/>
      <x:c r="M4"/>
      <x:c r="N4"/>
      <x:c r="O4"/>
      <x:c r="P4"/>
      <x:c r="Q4"/>
      <x:c r="R4"/>
      <x:c r="S4"/>
      <x:c r="T4"/>
      <x:c r="U4"/>
      <x:c r="V4" t="str">
        <x:v>NÃO</x:v>
      </x:c>
      <x:c r="W4" t="str">
        <x:v>MB AMAZÔNIA</x:v>
      </x:c>
      <x:c r="X4" s="12" t="str">
        <x:v>FIXO_MINIMO</x:v>
      </x:c>
      <x:c r="Y4" s="12"/>
      <x:c r="Z4" s="12" t="str">
        <x:v>2.6.44</x:v>
      </x:c>
      <x:c r="AA4" s="12" t="str">
        <x:v>Valor fixo/mínimo da tabela; controle visual passivo. Bloco fixo/mínimo mantido desativado nesta etapa.</x:v>
      </x:c>
    </x:row>
    <x:row r="5">
      <x:c r="A5" s="14" t="str">
        <x:v>REG_0004</x:v>
      </x:c>
      <x:c r="B5" s="14" t="str">
        <x:v>MB_AMAZONIA</x:v>
      </x:c>
      <x:c r="C5" s="14" t="str">
        <x:v>Tabela 02</x:v>
      </x:c>
      <x:c r="D5" s="14" t="str">
        <x:v>Cliente COLGATE / P&amp;G / BNB SIMÕES / OUTROS</x:v>
      </x:c>
      <x:c r="E5" s="14"/>
      <x:c r="F5" s="14"/>
      <x:c r="G5" s="14" t="n">
        <x:v>4000</x:v>
      </x:c>
      <x:c r="H5" s="14"/>
      <x:c r="I5" s="14" t="str">
        <x:v>doc20621120260704143158.pdf</x:v>
      </x:c>
      <x:c r="J5" s="14" t="str">
        <x:v>1</x:v>
      </x:c>
      <x:c r="K5" s="14" t="str">
        <x:v>REVISAR_OK</x:v>
      </x:c>
      <x:c r="L5"/>
      <x:c r="M5"/>
      <x:c r="N5"/>
      <x:c r="O5"/>
      <x:c r="P5"/>
      <x:c r="Q5"/>
      <x:c r="R5"/>
      <x:c r="S5"/>
      <x:c r="T5"/>
      <x:c r="U5"/>
      <x:c r="V5" t="str">
        <x:v>NÃO</x:v>
      </x:c>
      <x:c r="W5" t="str">
        <x:v>MB AMAZÔNIA</x:v>
      </x:c>
      <x:c r="X5" s="12" t="str">
        <x:v>FIXO_MINIMO</x:v>
      </x:c>
      <x:c r="Y5" s="12"/>
      <x:c r="Z5" s="12" t="str">
        <x:v>2.6.44</x:v>
      </x:c>
      <x:c r="AA5" s="12" t="str">
        <x:v>Valor fixo/mínimo da tabela; controle visual passivo. Bloco fixo/mínimo mantido desativado nesta etapa.</x:v>
      </x:c>
    </x:row>
    <x:row r="6">
      <x:c r="A6" s="14" t="str">
        <x:v>REG_0005</x:v>
      </x:c>
      <x:c r="B6" s="14" t="str">
        <x:v>MB_AMAZONIA</x:v>
      </x:c>
      <x:c r="C6" s="14" t="str">
        <x:v>Tabela 02</x:v>
      </x:c>
      <x:c r="D6" s="14" t="str">
        <x:v>Cliente COLGATE / P&amp;G / BNB SIMÕES / OUTROS</x:v>
      </x:c>
      <x:c r="E6" s="14"/>
      <x:c r="F6" s="14"/>
      <x:c r="G6" s="14" t="n">
        <x:v>4500</x:v>
      </x:c>
      <x:c r="H6" s="14"/>
      <x:c r="I6" s="14" t="str">
        <x:v>doc20621120260704143158.pdf</x:v>
      </x:c>
      <x:c r="J6" s="14" t="str">
        <x:v>1</x:v>
      </x:c>
      <x:c r="K6" s="14" t="str">
        <x:v>REVISAR_OK</x:v>
      </x:c>
      <x:c r="L6"/>
      <x:c r="M6"/>
      <x:c r="N6"/>
      <x:c r="O6"/>
      <x:c r="P6"/>
      <x:c r="Q6"/>
      <x:c r="R6"/>
      <x:c r="S6"/>
      <x:c r="T6"/>
      <x:c r="U6"/>
      <x:c r="V6" t="str">
        <x:v>NÃO</x:v>
      </x:c>
      <x:c r="W6" t="str">
        <x:v>MB AMAZÔNIA</x:v>
      </x:c>
      <x:c r="X6" s="12" t="str">
        <x:v>FIXO_MINIMO</x:v>
      </x:c>
      <x:c r="Y6" s="12"/>
      <x:c r="Z6" s="12" t="str">
        <x:v>2.6.44</x:v>
      </x:c>
      <x:c r="AA6" s="12" t="str">
        <x:v>Valor fixo/mínimo da tabela; controle visual passivo. Bloco fixo/mínimo mantido desativado nesta etapa.</x:v>
      </x:c>
    </x:row>
    <x:row r="7">
      <x:c r="A7" s="14" t="str">
        <x:v>REG_0006</x:v>
      </x:c>
      <x:c r="B7" s="14" t="str">
        <x:v>JSP</x:v>
      </x:c>
      <x:c r="C7" s="14" t="str">
        <x:v>REGIÃO GUAMÁ</x:v>
      </x:c>
      <x:c r="D7" s="14" t="str">
        <x:v>Benevides</x:v>
      </x:c>
      <x:c r="E7" s="14" t="str">
        <x:v>PA</x:v>
      </x:c>
      <x:c r="F7" s="14" t="str">
        <x:v>30%</x:v>
      </x:c>
      <x:c r="G7" s="14" t="n">
        <x:v>50</x:v>
      </x:c>
      <x:c r="H7" s="14" t="str">
        <x:v>D+1</x:v>
      </x:c>
      <x:c r="I7" s="14" t="str">
        <x:v>doc20621320260704143240.pdf</x:v>
      </x:c>
      <x:c r="J7" s="14" t="str">
        <x:v>1</x:v>
      </x:c>
      <x:c r="K7" s="14" t="str">
        <x:v>REVISAR_OK</x:v>
      </x:c>
      <x:c r="L7"/>
      <x:c r="M7"/>
      <x:c r="N7"/>
      <x:c r="O7"/>
      <x:c r="P7"/>
      <x:c r="Q7"/>
      <x:c r="R7"/>
      <x:c r="S7" t="str">
        <x:v>SIM</x:v>
      </x:c>
      <x:c r="T7" t="n">
        <x:v>2.05</x:v>
      </x:c>
      <x:c r="U7"/>
      <x:c r="V7" t="str">
        <x:v>SIM</x:v>
      </x:c>
      <x:c r="W7" t="str">
        <x:v>JSP</x:v>
      </x:c>
      <x:c r="X7" s="12" t="str">
        <x:v>PERCENTUAL</x:v>
      </x:c>
      <x:c r="Y7" s="12" t="str">
        <x:v>CTE</x:v>
      </x:c>
      <x:c r="Z7" s="12" t="str">
        <x:v>2.6.46</x:v>
      </x:c>
      <x:c r="AA7" s="12" t="str">
        <x:v>Pedágio JSP por CT-e conforme fonte; controle visual passivo.</x:v>
      </x:c>
    </x:row>
    <x:row r="8">
      <x:c r="A8" s="14" t="str">
        <x:v>REG_0007</x:v>
      </x:c>
      <x:c r="B8" s="14" t="str">
        <x:v>JSP</x:v>
      </x:c>
      <x:c r="C8" s="14" t="str">
        <x:v>REGIÃO GUAMÁ</x:v>
      </x:c>
      <x:c r="D8" s="14" t="str">
        <x:v>Castanhal</x:v>
      </x:c>
      <x:c r="E8" s="14" t="str">
        <x:v>PA</x:v>
      </x:c>
      <x:c r="F8" s="14" t="str">
        <x:v>30%</x:v>
      </x:c>
      <x:c r="G8" s="14" t="n">
        <x:v>50</x:v>
      </x:c>
      <x:c r="H8" s="14" t="str">
        <x:v>D+1</x:v>
      </x:c>
      <x:c r="I8" s="14" t="str">
        <x:v>doc20621320260704143240.pdf</x:v>
      </x:c>
      <x:c r="J8" s="14" t="str">
        <x:v>1</x:v>
      </x:c>
      <x:c r="K8" s="14" t="str">
        <x:v>REVISAR_OK</x:v>
      </x:c>
      <x:c r="L8"/>
      <x:c r="M8"/>
      <x:c r="N8"/>
      <x:c r="O8"/>
      <x:c r="P8"/>
      <x:c r="Q8"/>
      <x:c r="R8"/>
      <x:c r="S8" t="str">
        <x:v>SIM</x:v>
      </x:c>
      <x:c r="T8" t="n">
        <x:v>2.05</x:v>
      </x:c>
      <x:c r="U8"/>
      <x:c r="V8" t="str">
        <x:v>SIM</x:v>
      </x:c>
      <x:c r="W8" t="str">
        <x:v>JSP</x:v>
      </x:c>
      <x:c r="X8" s="12" t="str">
        <x:v>PERCENTUAL</x:v>
      </x:c>
      <x:c r="Y8" s="12" t="str">
        <x:v>CTE</x:v>
      </x:c>
      <x:c r="Z8" s="12" t="str">
        <x:v>2.6.46</x:v>
      </x:c>
      <x:c r="AA8" s="12" t="str">
        <x:v>Pedágio JSP por CT-e conforme fonte; controle visual passivo.</x:v>
      </x:c>
    </x:row>
    <x:row r="9">
      <x:c r="A9" s="14" t="str">
        <x:v>REG_0008</x:v>
      </x:c>
      <x:c r="B9" s="14" t="str">
        <x:v>JSP</x:v>
      </x:c>
      <x:c r="C9" s="14" t="str">
        <x:v>REGIÃO GUAMÁ</x:v>
      </x:c>
      <x:c r="D9" s="14" t="str">
        <x:v>Acará</x:v>
      </x:c>
      <x:c r="E9" s="14" t="str">
        <x:v>PA</x:v>
      </x:c>
      <x:c r="F9" s="14" t="str">
        <x:v>30%</x:v>
      </x:c>
      <x:c r="G9" s="14" t="n">
        <x:v>50</x:v>
      </x:c>
      <x:c r="H9" s="14" t="str">
        <x:v>D+2</x:v>
      </x:c>
      <x:c r="I9" s="14" t="str">
        <x:v>doc20621320260704143240.pdf</x:v>
      </x:c>
      <x:c r="J9" s="14" t="str">
        <x:v>1</x:v>
      </x:c>
      <x:c r="K9" s="14" t="str">
        <x:v>REVISAR_OK</x:v>
      </x:c>
      <x:c r="L9"/>
      <x:c r="M9"/>
      <x:c r="N9"/>
      <x:c r="O9"/>
      <x:c r="P9"/>
      <x:c r="Q9"/>
      <x:c r="R9"/>
      <x:c r="S9" t="str">
        <x:v>SIM</x:v>
      </x:c>
      <x:c r="T9" t="n">
        <x:v>2.05</x:v>
      </x:c>
      <x:c r="U9"/>
      <x:c r="V9" t="str">
        <x:v>SIM</x:v>
      </x:c>
      <x:c r="W9" t="str">
        <x:v>JSP</x:v>
      </x:c>
      <x:c r="X9" s="12" t="str">
        <x:v>PERCENTUAL</x:v>
      </x:c>
      <x:c r="Y9" s="12" t="str">
        <x:v>CTE</x:v>
      </x:c>
      <x:c r="Z9" s="12" t="str">
        <x:v>2.6.46</x:v>
      </x:c>
      <x:c r="AA9" s="12" t="str">
        <x:v>Pedágio JSP por CT-e conforme fonte; controle visual passivo.</x:v>
      </x:c>
    </x:row>
    <x:row r="10">
      <x:c r="A10" s="14" t="str">
        <x:v>REG_0009</x:v>
      </x:c>
      <x:c r="B10" s="14" t="str">
        <x:v>JSP</x:v>
      </x:c>
      <x:c r="C10" s="14" t="str">
        <x:v>REGIÃO GUAMÁ</x:v>
      </x:c>
      <x:c r="D10" s="14" t="str">
        <x:v>Moju</x:v>
      </x:c>
      <x:c r="E10" s="14" t="str">
        <x:v>PA</x:v>
      </x:c>
      <x:c r="F10" s="14" t="str">
        <x:v>30%</x:v>
      </x:c>
      <x:c r="G10" s="14" t="n">
        <x:v>50</x:v>
      </x:c>
      <x:c r="H10" s="14" t="str">
        <x:v>D+2</x:v>
      </x:c>
      <x:c r="I10" s="14" t="str">
        <x:v>doc20621320260704143240.pdf</x:v>
      </x:c>
      <x:c r="J10" s="14" t="str">
        <x:v>1</x:v>
      </x:c>
      <x:c r="K10" s="14" t="str">
        <x:v>REVISAR_OK</x:v>
      </x:c>
      <x:c r="L10"/>
      <x:c r="M10"/>
      <x:c r="N10"/>
      <x:c r="O10"/>
      <x:c r="P10"/>
      <x:c r="Q10"/>
      <x:c r="R10"/>
      <x:c r="S10" t="str">
        <x:v>SIM</x:v>
      </x:c>
      <x:c r="T10" t="n">
        <x:v>2.05</x:v>
      </x:c>
      <x:c r="U10"/>
      <x:c r="V10" t="str">
        <x:v>SIM</x:v>
      </x:c>
      <x:c r="W10" t="str">
        <x:v>JSP</x:v>
      </x:c>
      <x:c r="X10" s="12" t="str">
        <x:v>PERCENTUAL</x:v>
      </x:c>
      <x:c r="Y10" s="12" t="str">
        <x:v>CTE</x:v>
      </x:c>
      <x:c r="Z10" s="12" t="str">
        <x:v>2.6.46</x:v>
      </x:c>
      <x:c r="AA10" s="12" t="str">
        <x:v>Pedágio JSP por CT-e conforme fonte; controle visual passivo.</x:v>
      </x:c>
    </x:row>
    <x:row r="11">
      <x:c r="A11" s="14" t="str">
        <x:v>REG_0010</x:v>
      </x:c>
      <x:c r="B11" s="14" t="str">
        <x:v>JSP</x:v>
      </x:c>
      <x:c r="C11" s="14" t="str">
        <x:v>REGIÃO GUAMÁ</x:v>
      </x:c>
      <x:c r="D11" s="14" t="str">
        <x:v>Ananindeua</x:v>
      </x:c>
      <x:c r="E11" s="14" t="str">
        <x:v>PA</x:v>
      </x:c>
      <x:c r="F11" s="14" t="str">
        <x:v>30%</x:v>
      </x:c>
      <x:c r="G11" s="14" t="n">
        <x:v>70</x:v>
      </x:c>
      <x:c r="H11" s="14" t="str">
        <x:v>D+2</x:v>
      </x:c>
      <x:c r="I11" s="14" t="str">
        <x:v>doc20621320260704143240.pdf</x:v>
      </x:c>
      <x:c r="J11" s="14" t="str">
        <x:v>1</x:v>
      </x:c>
      <x:c r="K11" s="14" t="str">
        <x:v>REVISAR_OK</x:v>
      </x:c>
      <x:c r="L11"/>
      <x:c r="M11"/>
      <x:c r="N11"/>
      <x:c r="O11"/>
      <x:c r="P11"/>
      <x:c r="Q11"/>
      <x:c r="R11"/>
      <x:c r="S11" t="str">
        <x:v>SIM</x:v>
      </x:c>
      <x:c r="T11" t="n">
        <x:v>2.05</x:v>
      </x:c>
      <x:c r="U11"/>
      <x:c r="V11" t="str">
        <x:v>SIM</x:v>
      </x:c>
      <x:c r="W11" t="str">
        <x:v>JSP</x:v>
      </x:c>
      <x:c r="X11" s="12" t="str">
        <x:v>PERCENTUAL</x:v>
      </x:c>
      <x:c r="Y11" s="12" t="str">
        <x:v>CTE</x:v>
      </x:c>
      <x:c r="Z11" s="12" t="str">
        <x:v>2.6.46</x:v>
      </x:c>
      <x:c r="AA11" s="12" t="str">
        <x:v>Pedágio JSP por CT-e conforme fonte; controle visual passivo.</x:v>
      </x:c>
    </x:row>
    <x:row r="12">
      <x:c r="A12" s="14" t="str">
        <x:v>REG_0011</x:v>
      </x:c>
      <x:c r="B12" s="14" t="str">
        <x:v>JSP</x:v>
      </x:c>
      <x:c r="C12" s="14" t="str">
        <x:v>REGIÃO TOCANTINS</x:v>
      </x:c>
      <x:c r="D12" s="14" t="str">
        <x:v>Tailândia</x:v>
      </x:c>
      <x:c r="E12" s="14" t="str">
        <x:v>PA</x:v>
      </x:c>
      <x:c r="F12" s="14" t="str">
        <x:v>30%</x:v>
      </x:c>
      <x:c r="G12" s="14" t="n">
        <x:v>50</x:v>
      </x:c>
      <x:c r="H12" s="14" t="str">
        <x:v>D+1</x:v>
      </x:c>
      <x:c r="I12" s="14" t="str">
        <x:v>doc20621320260704143240.pdf</x:v>
      </x:c>
      <x:c r="J12" s="14" t="str">
        <x:v>1</x:v>
      </x:c>
      <x:c r="K12" s="14" t="str">
        <x:v>REVISAR_OK</x:v>
      </x:c>
      <x:c r="L12"/>
      <x:c r="M12"/>
      <x:c r="N12"/>
      <x:c r="O12"/>
      <x:c r="P12"/>
      <x:c r="Q12"/>
      <x:c r="R12"/>
      <x:c r="S12" t="str">
        <x:v>SIM</x:v>
      </x:c>
      <x:c r="T12" t="n">
        <x:v>2.05</x:v>
      </x:c>
      <x:c r="U12"/>
      <x:c r="V12" t="str">
        <x:v>SIM</x:v>
      </x:c>
      <x:c r="W12" t="str">
        <x:v>JSP</x:v>
      </x:c>
      <x:c r="X12" s="12" t="str">
        <x:v>PERCENTUAL</x:v>
      </x:c>
      <x:c r="Y12" s="12" t="str">
        <x:v>CTE</x:v>
      </x:c>
      <x:c r="Z12" s="12" t="str">
        <x:v>2.6.46</x:v>
      </x:c>
      <x:c r="AA12" s="12" t="str">
        <x:v>Pedágio JSP por CT-e conforme fonte; controle visual passivo.</x:v>
      </x:c>
    </x:row>
    <x:row r="13">
      <x:c r="A13" s="14" t="str">
        <x:v>REG_0012</x:v>
      </x:c>
      <x:c r="B13" s="14" t="str">
        <x:v>JSP</x:v>
      </x:c>
      <x:c r="C13" s="14" t="str">
        <x:v>REGIÃO LAGO TUCURUÍ</x:v>
      </x:c>
      <x:c r="D13" s="14" t="str">
        <x:v>Breu Branco</x:v>
      </x:c>
      <x:c r="E13" s="14" t="str">
        <x:v>PA</x:v>
      </x:c>
      <x:c r="F13" s="14" t="str">
        <x:v>30%</x:v>
      </x:c>
      <x:c r="G13" s="14" t="n">
        <x:v>50</x:v>
      </x:c>
      <x:c r="H13" s="14" t="str">
        <x:v>D+1</x:v>
      </x:c>
      <x:c r="I13" s="14" t="str">
        <x:v>doc20621320260704143240.pdf</x:v>
      </x:c>
      <x:c r="J13" s="14" t="str">
        <x:v>1</x:v>
      </x:c>
      <x:c r="K13" s="14" t="str">
        <x:v>REVISAR_OK</x:v>
      </x:c>
      <x:c r="L13"/>
      <x:c r="M13"/>
      <x:c r="N13"/>
      <x:c r="O13"/>
      <x:c r="P13"/>
      <x:c r="Q13"/>
      <x:c r="R13"/>
      <x:c r="S13" t="str">
        <x:v>NÃO</x:v>
      </x:c>
      <x:c r="T13" t="n">
        <x:v>0</x:v>
      </x:c>
      <x:c r="U13"/>
      <x:c r="V13" t="str">
        <x:v>SIM</x:v>
      </x:c>
      <x:c r="W13" t="str">
        <x:v>JSP</x:v>
      </x:c>
      <x:c r="X13" s="12" t="str">
        <x:v>PERCENTUAL</x:v>
      </x:c>
      <x:c r="Y13" s="12" t="str">
        <x:v>CTE</x:v>
      </x:c>
      <x:c r="Z13" s="12" t="str">
        <x:v>2.6.46</x:v>
      </x:c>
      <x:c r="AA13" s="12" t="str">
        <x:v>Pedágio JSP informado como 0,00 por CT-e na fonte.</x:v>
      </x:c>
    </x:row>
    <x:row r="14">
      <x:c r="A14" s="14" t="str">
        <x:v>REG_0013</x:v>
      </x:c>
      <x:c r="B14" s="14" t="str">
        <x:v>JSP</x:v>
      </x:c>
      <x:c r="C14" s="14" t="str">
        <x:v>REGIÃO LAGO TUCURUÍ</x:v>
      </x:c>
      <x:c r="D14" s="14" t="str">
        <x:v>Goianésia do Pará</x:v>
      </x:c>
      <x:c r="E14" s="14" t="str">
        <x:v>PA</x:v>
      </x:c>
      <x:c r="F14" s="14" t="str">
        <x:v>30%</x:v>
      </x:c>
      <x:c r="G14" s="14" t="n">
        <x:v>50</x:v>
      </x:c>
      <x:c r="H14" s="14" t="str">
        <x:v>D+1</x:v>
      </x:c>
      <x:c r="I14" s="14" t="str">
        <x:v>doc20621320260704143240.pdf</x:v>
      </x:c>
      <x:c r="J14" s="14" t="str">
        <x:v>1</x:v>
      </x:c>
      <x:c r="K14" s="14" t="str">
        <x:v>REVISAR_OK</x:v>
      </x:c>
      <x:c r="L14"/>
      <x:c r="M14"/>
      <x:c r="N14"/>
      <x:c r="O14"/>
      <x:c r="P14"/>
      <x:c r="Q14"/>
      <x:c r="R14"/>
      <x:c r="S14" t="str">
        <x:v>NÃO</x:v>
      </x:c>
      <x:c r="T14" t="n">
        <x:v>0</x:v>
      </x:c>
      <x:c r="U14"/>
      <x:c r="V14" t="str">
        <x:v>SIM</x:v>
      </x:c>
      <x:c r="W14" t="str">
        <x:v>JSP</x:v>
      </x:c>
      <x:c r="X14" s="12" t="str">
        <x:v>PERCENTUAL</x:v>
      </x:c>
      <x:c r="Y14" s="12" t="str">
        <x:v>CTE</x:v>
      </x:c>
      <x:c r="Z14" s="12" t="str">
        <x:v>2.6.46</x:v>
      </x:c>
      <x:c r="AA14" s="12" t="str">
        <x:v>Pedágio JSP informado como 0,00 por CT-e na fonte.</x:v>
      </x:c>
    </x:row>
    <x:row r="15">
      <x:c r="A15" s="14" t="str">
        <x:v>REG_0014</x:v>
      </x:c>
      <x:c r="B15" s="14" t="str">
        <x:v>JSP</x:v>
      </x:c>
      <x:c r="C15" s="14" t="str">
        <x:v>REGIÃO LAGO TUCURUÍ</x:v>
      </x:c>
      <x:c r="D15" s="14" t="str">
        <x:v>Jacundá</x:v>
      </x:c>
      <x:c r="E15" s="14" t="str">
        <x:v>PA</x:v>
      </x:c>
      <x:c r="F15" s="14" t="str">
        <x:v>30%</x:v>
      </x:c>
      <x:c r="G15" s="14" t="n">
        <x:v>50</x:v>
      </x:c>
      <x:c r="H15" s="14" t="str">
        <x:v>D+1</x:v>
      </x:c>
      <x:c r="I15" s="14" t="str">
        <x:v>doc20621320260704143240.pdf</x:v>
      </x:c>
      <x:c r="J15" s="14" t="str">
        <x:v>1</x:v>
      </x:c>
      <x:c r="K15" s="14" t="str">
        <x:v>REVISAR_OK</x:v>
      </x:c>
      <x:c r="L15"/>
      <x:c r="M15"/>
      <x:c r="N15"/>
      <x:c r="O15"/>
      <x:c r="P15"/>
      <x:c r="Q15"/>
      <x:c r="R15"/>
      <x:c r="S15" t="str">
        <x:v>NÃO</x:v>
      </x:c>
      <x:c r="T15" t="n">
        <x:v>0</x:v>
      </x:c>
      <x:c r="U15"/>
      <x:c r="V15" t="str">
        <x:v>SIM</x:v>
      </x:c>
      <x:c r="W15" t="str">
        <x:v>JSP</x:v>
      </x:c>
      <x:c r="X15" s="12" t="str">
        <x:v>PERCENTUAL</x:v>
      </x:c>
      <x:c r="Y15" s="12" t="str">
        <x:v>CTE</x:v>
      </x:c>
      <x:c r="Z15" s="12" t="str">
        <x:v>2.6.46</x:v>
      </x:c>
      <x:c r="AA15" s="12" t="str">
        <x:v>Pedágio JSP informado como 0,00 por CT-e na fonte.</x:v>
      </x:c>
    </x:row>
    <x:row r="16">
      <x:c r="A16" s="14" t="str">
        <x:v>REG_0015</x:v>
      </x:c>
      <x:c r="B16" s="14" t="str">
        <x:v>JSP</x:v>
      </x:c>
      <x:c r="C16" s="14" t="str">
        <x:v>REGIÃO LAGO TUCURUÍ</x:v>
      </x:c>
      <x:c r="D16" s="14" t="str">
        <x:v>Novo Repartimento</x:v>
      </x:c>
      <x:c r="E16" s="14" t="str">
        <x:v>PA</x:v>
      </x:c>
      <x:c r="F16" s="14" t="str">
        <x:v>30%</x:v>
      </x:c>
      <x:c r="G16" s="14" t="n">
        <x:v>50</x:v>
      </x:c>
      <x:c r="H16" s="14" t="str">
        <x:v>D+1</x:v>
      </x:c>
      <x:c r="I16" s="14" t="str">
        <x:v>doc20621320260704143240.pdf</x:v>
      </x:c>
      <x:c r="J16" s="14" t="str">
        <x:v>1</x:v>
      </x:c>
      <x:c r="K16" s="14" t="str">
        <x:v>REVISAR_OK</x:v>
      </x:c>
      <x:c r="L16"/>
      <x:c r="M16"/>
      <x:c r="N16"/>
      <x:c r="O16"/>
      <x:c r="P16"/>
      <x:c r="Q16"/>
      <x:c r="R16"/>
      <x:c r="S16" t="str">
        <x:v>NÃO</x:v>
      </x:c>
      <x:c r="T16" t="n">
        <x:v>0</x:v>
      </x:c>
      <x:c r="U16"/>
      <x:c r="V16" t="str">
        <x:v>SIM</x:v>
      </x:c>
      <x:c r="W16" t="str">
        <x:v>JSP</x:v>
      </x:c>
      <x:c r="X16" s="12" t="str">
        <x:v>PERCENTUAL</x:v>
      </x:c>
      <x:c r="Y16" s="12" t="str">
        <x:v>CTE</x:v>
      </x:c>
      <x:c r="Z16" s="12" t="str">
        <x:v>2.6.46</x:v>
      </x:c>
      <x:c r="AA16" s="12" t="str">
        <x:v>Pedágio JSP informado como 0,00 por CT-e na fonte.</x:v>
      </x:c>
    </x:row>
    <x:row r="17">
      <x:c r="A17" s="14" t="str">
        <x:v>REG_0016</x:v>
      </x:c>
      <x:c r="B17" s="14" t="str">
        <x:v>JSP</x:v>
      </x:c>
      <x:c r="C17" s="14" t="str">
        <x:v>REGIÃO LAGO TUCURUÍ</x:v>
      </x:c>
      <x:c r="D17" s="14" t="str">
        <x:v>Tucuruí</x:v>
      </x:c>
      <x:c r="E17" s="14" t="str">
        <x:v>PA</x:v>
      </x:c>
      <x:c r="F17" s="14" t="str">
        <x:v>30%</x:v>
      </x:c>
      <x:c r="G17" s="14" t="n">
        <x:v>50</x:v>
      </x:c>
      <x:c r="H17" s="14" t="str">
        <x:v>D+1</x:v>
      </x:c>
      <x:c r="I17" s="14" t="str">
        <x:v>doc20621320260704143240.pdf</x:v>
      </x:c>
      <x:c r="J17" s="14" t="str">
        <x:v>1</x:v>
      </x:c>
      <x:c r="K17" s="14" t="str">
        <x:v>REVISAR_OK</x:v>
      </x:c>
      <x:c r="L17"/>
      <x:c r="M17"/>
      <x:c r="N17"/>
      <x:c r="O17"/>
      <x:c r="P17"/>
      <x:c r="Q17"/>
      <x:c r="R17"/>
      <x:c r="S17" t="str">
        <x:v>NÃO</x:v>
      </x:c>
      <x:c r="T17" t="n">
        <x:v>0</x:v>
      </x:c>
      <x:c r="U17"/>
      <x:c r="V17" t="str">
        <x:v>SIM</x:v>
      </x:c>
      <x:c r="W17" t="str">
        <x:v>JSP</x:v>
      </x:c>
      <x:c r="X17" s="12" t="str">
        <x:v>PERCENTUAL</x:v>
      </x:c>
      <x:c r="Y17" s="12" t="str">
        <x:v>CTE</x:v>
      </x:c>
      <x:c r="Z17" s="12" t="str">
        <x:v>2.6.46</x:v>
      </x:c>
      <x:c r="AA17" s="12" t="str">
        <x:v>Pedágio JSP informado como 0,00 por CT-e na fonte.</x:v>
      </x:c>
    </x:row>
    <x:row r="18">
      <x:c r="A18" s="14" t="str">
        <x:v>REG_0017</x:v>
      </x:c>
      <x:c r="B18" s="14" t="str">
        <x:v>JSP</x:v>
      </x:c>
      <x:c r="C18" s="14" t="str">
        <x:v>REGIÃO LAGO TUCURUÍ</x:v>
      </x:c>
      <x:c r="D18" s="14" t="str">
        <x:v>Nova Ipixuna</x:v>
      </x:c>
      <x:c r="E18" s="14" t="str">
        <x:v>PA</x:v>
      </x:c>
      <x:c r="F18" s="14" t="str">
        <x:v>30%</x:v>
      </x:c>
      <x:c r="G18" s="14" t="n">
        <x:v>50</x:v>
      </x:c>
      <x:c r="H18" s="14" t="str">
        <x:v>D+2</x:v>
      </x:c>
      <x:c r="I18" s="14" t="str">
        <x:v>doc20621320260704143240.pdf</x:v>
      </x:c>
      <x:c r="J18" s="14" t="str">
        <x:v>1</x:v>
      </x:c>
      <x:c r="K18" s="14" t="str">
        <x:v>REVISAR_OK</x:v>
      </x:c>
      <x:c r="L18"/>
      <x:c r="M18"/>
      <x:c r="N18"/>
      <x:c r="O18"/>
      <x:c r="P18"/>
      <x:c r="Q18"/>
      <x:c r="R18"/>
      <x:c r="S18" t="str">
        <x:v>NÃO</x:v>
      </x:c>
      <x:c r="T18" t="n">
        <x:v>0</x:v>
      </x:c>
      <x:c r="U18"/>
      <x:c r="V18" t="str">
        <x:v>SIM</x:v>
      </x:c>
      <x:c r="W18" t="str">
        <x:v>JSP</x:v>
      </x:c>
      <x:c r="X18" s="12" t="str">
        <x:v>PERCENTUAL</x:v>
      </x:c>
      <x:c r="Y18" s="12" t="str">
        <x:v>CTE</x:v>
      </x:c>
      <x:c r="Z18" s="12" t="str">
        <x:v>2.6.46</x:v>
      </x:c>
      <x:c r="AA18" s="12" t="str">
        <x:v>Pedágio JSP informado como 0,00 por CT-e na fonte.</x:v>
      </x:c>
    </x:row>
    <x:row r="19">
      <x:c r="A19" s="14" t="str">
        <x:v>REG_0018</x:v>
      </x:c>
      <x:c r="B19" s="14" t="str">
        <x:v>JSP</x:v>
      </x:c>
      <x:c r="C19" s="14" t="str">
        <x:v>REGIÃO XINGU</x:v>
      </x:c>
      <x:c r="D19" s="14" t="str">
        <x:v>Altamira</x:v>
      </x:c>
      <x:c r="E19" s="14" t="str">
        <x:v>PA</x:v>
      </x:c>
      <x:c r="F19" s="14" t="str">
        <x:v>30%</x:v>
      </x:c>
      <x:c r="G19" s="14" t="n">
        <x:v>50</x:v>
      </x:c>
      <x:c r="H19" s="14" t="str">
        <x:v>D+2</x:v>
      </x:c>
      <x:c r="I19" s="14" t="str">
        <x:v>doc20621320260704143240.pdf</x:v>
      </x:c>
      <x:c r="J19" s="14" t="str">
        <x:v>1</x:v>
      </x:c>
      <x:c r="K19" s="14" t="str">
        <x:v>REVISAR_OK</x:v>
      </x:c>
      <x:c r="L19"/>
      <x:c r="M19"/>
      <x:c r="N19"/>
      <x:c r="O19"/>
      <x:c r="P19"/>
      <x:c r="Q19"/>
      <x:c r="R19"/>
      <x:c r="S19" t="str">
        <x:v>NÃO</x:v>
      </x:c>
      <x:c r="T19" t="n">
        <x:v>0</x:v>
      </x:c>
      <x:c r="U19"/>
      <x:c r="V19" t="str">
        <x:v>SIM</x:v>
      </x:c>
      <x:c r="W19" t="str">
        <x:v>JSP</x:v>
      </x:c>
      <x:c r="X19" s="12" t="str">
        <x:v>PERCENTUAL</x:v>
      </x:c>
      <x:c r="Y19" s="12" t="str">
        <x:v>CTE</x:v>
      </x:c>
      <x:c r="Z19" s="12" t="str">
        <x:v>2.6.46</x:v>
      </x:c>
      <x:c r="AA19" s="12" t="str">
        <x:v>Pedágio JSP informado como 0,00 por CT-e na fonte.</x:v>
      </x:c>
    </x:row>
    <x:row r="20">
      <x:c r="A20" s="14" t="str">
        <x:v>REG_0019</x:v>
      </x:c>
      <x:c r="B20" s="14" t="str">
        <x:v>JSP</x:v>
      </x:c>
      <x:c r="C20" s="14" t="str">
        <x:v>REGIÃO XINGU</x:v>
      </x:c>
      <x:c r="D20" s="14" t="str">
        <x:v>Anapu</x:v>
      </x:c>
      <x:c r="E20" s="14" t="str">
        <x:v>PA</x:v>
      </x:c>
      <x:c r="F20" s="14" t="str">
        <x:v>30%</x:v>
      </x:c>
      <x:c r="G20" s="14" t="n">
        <x:v>50</x:v>
      </x:c>
      <x:c r="H20" s="14" t="str">
        <x:v>D+2</x:v>
      </x:c>
      <x:c r="I20" s="14" t="str">
        <x:v>doc20621320260704143240.pdf</x:v>
      </x:c>
      <x:c r="J20" s="14" t="str">
        <x:v>1</x:v>
      </x:c>
      <x:c r="K20" s="14" t="str">
        <x:v>REVISAR_OK</x:v>
      </x:c>
      <x:c r="L20"/>
      <x:c r="M20"/>
      <x:c r="N20"/>
      <x:c r="O20"/>
      <x:c r="P20"/>
      <x:c r="Q20"/>
      <x:c r="R20"/>
      <x:c r="S20" t="str">
        <x:v>NÃO</x:v>
      </x:c>
      <x:c r="T20" t="n">
        <x:v>0</x:v>
      </x:c>
      <x:c r="U20"/>
      <x:c r="V20" t="str">
        <x:v>SIM</x:v>
      </x:c>
      <x:c r="W20" t="str">
        <x:v>JSP</x:v>
      </x:c>
      <x:c r="X20" s="12" t="str">
        <x:v>PERCENTUAL</x:v>
      </x:c>
      <x:c r="Y20" s="12" t="str">
        <x:v>CTE</x:v>
      </x:c>
      <x:c r="Z20" s="12" t="str">
        <x:v>2.6.46</x:v>
      </x:c>
      <x:c r="AA20" s="12" t="str">
        <x:v>Pedágio JSP informado como 0,00 por CT-e na fonte.</x:v>
      </x:c>
    </x:row>
    <x:row r="21">
      <x:c r="A21" s="14" t="str">
        <x:v>REG_0020</x:v>
      </x:c>
      <x:c r="B21" s="14" t="str">
        <x:v>JSP</x:v>
      </x:c>
      <x:c r="C21" s="14" t="str">
        <x:v>REGIÃO XINGU</x:v>
      </x:c>
      <x:c r="D21" s="14" t="str">
        <x:v>Pacajá</x:v>
      </x:c>
      <x:c r="E21" s="14" t="str">
        <x:v>PA</x:v>
      </x:c>
      <x:c r="F21" s="14" t="str">
        <x:v>30%</x:v>
      </x:c>
      <x:c r="G21" s="14" t="n">
        <x:v>50</x:v>
      </x:c>
      <x:c r="H21" s="14" t="str">
        <x:v>D+2</x:v>
      </x:c>
      <x:c r="I21" s="14" t="str">
        <x:v>doc20621320260704143240.pdf</x:v>
      </x:c>
      <x:c r="J21" s="14" t="str">
        <x:v>1</x:v>
      </x:c>
      <x:c r="K21" s="14" t="str">
        <x:v>REVISAR_OK</x:v>
      </x:c>
      <x:c r="L21"/>
      <x:c r="M21"/>
      <x:c r="N21"/>
      <x:c r="O21"/>
      <x:c r="P21"/>
      <x:c r="Q21"/>
      <x:c r="R21"/>
      <x:c r="S21" t="str">
        <x:v>NÃO</x:v>
      </x:c>
      <x:c r="T21" t="n">
        <x:v>0</x:v>
      </x:c>
      <x:c r="U21"/>
      <x:c r="V21" t="str">
        <x:v>SIM</x:v>
      </x:c>
      <x:c r="W21" t="str">
        <x:v>JSP</x:v>
      </x:c>
      <x:c r="X21" s="12" t="str">
        <x:v>PERCENTUAL</x:v>
      </x:c>
      <x:c r="Y21" s="12" t="str">
        <x:v>CTE</x:v>
      </x:c>
      <x:c r="Z21" s="12" t="str">
        <x:v>2.6.46</x:v>
      </x:c>
      <x:c r="AA21" s="12" t="str">
        <x:v>Pedágio JSP informado como 0,00 por CT-e na fonte.</x:v>
      </x:c>
    </x:row>
    <x:row r="22">
      <x:c r="A22" s="14" t="str">
        <x:v>REG_0021</x:v>
      </x:c>
      <x:c r="B22" s="14" t="str">
        <x:v>JSP</x:v>
      </x:c>
      <x:c r="C22" s="14" t="str">
        <x:v>REGIÃO XINGU</x:v>
      </x:c>
      <x:c r="D22" s="14" t="str">
        <x:v>Brasil Novo</x:v>
      </x:c>
      <x:c r="E22" s="14" t="str">
        <x:v>PA</x:v>
      </x:c>
      <x:c r="F22" s="14" t="str">
        <x:v>35%</x:v>
      </x:c>
      <x:c r="G22" s="14" t="n">
        <x:v>70</x:v>
      </x:c>
      <x:c r="H22" s="14" t="str">
        <x:v>D+3</x:v>
      </x:c>
      <x:c r="I22" s="14" t="str">
        <x:v>doc20621320260704143240.pdf</x:v>
      </x:c>
      <x:c r="J22" s="14" t="str">
        <x:v>1</x:v>
      </x:c>
      <x:c r="K22" s="14" t="str">
        <x:v>REVISAR_OK</x:v>
      </x:c>
      <x:c r="L22"/>
      <x:c r="M22"/>
      <x:c r="N22"/>
      <x:c r="O22"/>
      <x:c r="P22"/>
      <x:c r="Q22"/>
      <x:c r="R22"/>
      <x:c r="S22" t="str">
        <x:v>NÃO</x:v>
      </x:c>
      <x:c r="T22" t="n">
        <x:v>0</x:v>
      </x:c>
      <x:c r="U22"/>
      <x:c r="V22" t="str">
        <x:v>SIM</x:v>
      </x:c>
      <x:c r="W22" t="str">
        <x:v>JSP</x:v>
      </x:c>
      <x:c r="X22" s="12" t="str">
        <x:v>PERCENTUAL</x:v>
      </x:c>
      <x:c r="Y22" s="12" t="str">
        <x:v>CTE</x:v>
      </x:c>
      <x:c r="Z22" s="12" t="str">
        <x:v>2.6.46</x:v>
      </x:c>
      <x:c r="AA22" s="12" t="str">
        <x:v>Pedágio JSP informado como 0,00 por CT-e na fonte.</x:v>
      </x:c>
    </x:row>
    <x:row r="23">
      <x:c r="A23" s="14" t="str">
        <x:v>REG_0022</x:v>
      </x:c>
      <x:c r="B23" s="14" t="str">
        <x:v>JSP</x:v>
      </x:c>
      <x:c r="C23" s="14" t="str">
        <x:v>REGIÃO XINGU</x:v>
      </x:c>
      <x:c r="D23" s="14" t="str">
        <x:v>Medicilândia</x:v>
      </x:c>
      <x:c r="E23" s="14" t="str">
        <x:v>PA</x:v>
      </x:c>
      <x:c r="F23" s="14" t="str">
        <x:v>35%</x:v>
      </x:c>
      <x:c r="G23" s="14" t="n">
        <x:v>70</x:v>
      </x:c>
      <x:c r="H23" s="14" t="str">
        <x:v>D+3</x:v>
      </x:c>
      <x:c r="I23" s="14" t="str">
        <x:v>doc20621320260704143240.pdf</x:v>
      </x:c>
      <x:c r="J23" s="14" t="str">
        <x:v>1</x:v>
      </x:c>
      <x:c r="K23" s="14" t="str">
        <x:v>REVISAR_OK</x:v>
      </x:c>
      <x:c r="L23"/>
      <x:c r="M23"/>
      <x:c r="N23"/>
      <x:c r="O23"/>
      <x:c r="P23"/>
      <x:c r="Q23"/>
      <x:c r="R23"/>
      <x:c r="S23" t="str">
        <x:v>NÃO</x:v>
      </x:c>
      <x:c r="T23" t="n">
        <x:v>0</x:v>
      </x:c>
      <x:c r="U23"/>
      <x:c r="V23" t="str">
        <x:v>SIM</x:v>
      </x:c>
      <x:c r="W23" t="str">
        <x:v>JSP</x:v>
      </x:c>
      <x:c r="X23" s="12" t="str">
        <x:v>PERCENTUAL</x:v>
      </x:c>
      <x:c r="Y23" s="12" t="str">
        <x:v>CTE</x:v>
      </x:c>
      <x:c r="Z23" s="12" t="str">
        <x:v>2.6.46</x:v>
      </x:c>
      <x:c r="AA23" s="12" t="str">
        <x:v>Pedágio JSP informado como 0,00 por CT-e na fonte.</x:v>
      </x:c>
    </x:row>
    <x:row r="24">
      <x:c r="A24" s="14" t="str">
        <x:v>REG_0023</x:v>
      </x:c>
      <x:c r="B24" s="14" t="str">
        <x:v>JSP</x:v>
      </x:c>
      <x:c r="C24" s="14" t="str">
        <x:v>REGIÃO XINGU</x:v>
      </x:c>
      <x:c r="D24" s="14" t="str">
        <x:v>Uruará</x:v>
      </x:c>
      <x:c r="E24" s="14" t="str">
        <x:v>PA</x:v>
      </x:c>
      <x:c r="F24" s="14" t="str">
        <x:v>35%</x:v>
      </x:c>
      <x:c r="G24" s="14" t="n">
        <x:v>70</x:v>
      </x:c>
      <x:c r="H24" s="14" t="str">
        <x:v>D+3</x:v>
      </x:c>
      <x:c r="I24" s="14" t="str">
        <x:v>doc20621320260704143240.pdf</x:v>
      </x:c>
      <x:c r="J24" s="14" t="str">
        <x:v>1</x:v>
      </x:c>
      <x:c r="K24" s="14" t="str">
        <x:v>REVISAR_OK</x:v>
      </x:c>
      <x:c r="L24"/>
      <x:c r="M24"/>
      <x:c r="N24"/>
      <x:c r="O24"/>
      <x:c r="P24"/>
      <x:c r="Q24"/>
      <x:c r="R24"/>
      <x:c r="S24" t="str">
        <x:v>NÃO</x:v>
      </x:c>
      <x:c r="T24" t="n">
        <x:v>0</x:v>
      </x:c>
      <x:c r="U24"/>
      <x:c r="V24" t="str">
        <x:v>SIM</x:v>
      </x:c>
      <x:c r="W24" t="str">
        <x:v>JSP</x:v>
      </x:c>
      <x:c r="X24" s="12" t="str">
        <x:v>PERCENTUAL</x:v>
      </x:c>
      <x:c r="Y24" s="12" t="str">
        <x:v>CTE</x:v>
      </x:c>
      <x:c r="Z24" s="12" t="str">
        <x:v>2.6.46</x:v>
      </x:c>
      <x:c r="AA24" s="12" t="str">
        <x:v>Pedágio JSP informado como 0,00 por CT-e na fonte.</x:v>
      </x:c>
    </x:row>
    <x:row r="25">
      <x:c r="A25" s="14" t="str">
        <x:v>REG_0024</x:v>
      </x:c>
      <x:c r="B25" s="14" t="str">
        <x:v>JSP</x:v>
      </x:c>
      <x:c r="C25" s="14" t="str">
        <x:v>REGIÃO CARAJÁS</x:v>
      </x:c>
      <x:c r="D25" s="14" t="str">
        <x:v>Canaã dos Carajás</x:v>
      </x:c>
      <x:c r="E25" s="14" t="str">
        <x:v>PA</x:v>
      </x:c>
      <x:c r="F25" s="14" t="str">
        <x:v>25%</x:v>
      </x:c>
      <x:c r="G25" s="14" t="n">
        <x:v>50</x:v>
      </x:c>
      <x:c r="H25" s="14" t="str">
        <x:v>D+2</x:v>
      </x:c>
      <x:c r="I25" s="14" t="str">
        <x:v>doc20621320260704143240.pdf</x:v>
      </x:c>
      <x:c r="J25" s="14" t="str">
        <x:v>1</x:v>
      </x:c>
      <x:c r="K25" s="14" t="str">
        <x:v>REVISAR_OK</x:v>
      </x:c>
      <x:c r="L25"/>
      <x:c r="M25"/>
      <x:c r="N25"/>
      <x:c r="O25"/>
      <x:c r="P25"/>
      <x:c r="Q25"/>
      <x:c r="R25"/>
      <x:c r="S25" t="str">
        <x:v>NÃO</x:v>
      </x:c>
      <x:c r="T25" t="n">
        <x:v>0</x:v>
      </x:c>
      <x:c r="U25"/>
      <x:c r="V25" t="str">
        <x:v>SIM</x:v>
      </x:c>
      <x:c r="W25" t="str">
        <x:v>JSP</x:v>
      </x:c>
      <x:c r="X25" s="12" t="str">
        <x:v>PERCENTUAL</x:v>
      </x:c>
      <x:c r="Y25" s="12" t="str">
        <x:v>CTE</x:v>
      </x:c>
      <x:c r="Z25" s="12" t="str">
        <x:v>2.6.46</x:v>
      </x:c>
      <x:c r="AA25" s="12" t="str">
        <x:v>Pedágio JSP informado como 0,00 por CT-e na fonte.</x:v>
      </x:c>
    </x:row>
    <x:row r="26">
      <x:c r="A26" s="14" t="str">
        <x:v>REG_0025</x:v>
      </x:c>
      <x:c r="B26" s="14" t="str">
        <x:v>JSP</x:v>
      </x:c>
      <x:c r="C26" s="14" t="str">
        <x:v>REGIÃO CARAJÁS</x:v>
      </x:c>
      <x:c r="D26" s="14" t="str">
        <x:v>Curionópolis</x:v>
      </x:c>
      <x:c r="E26" s="14" t="str">
        <x:v>PA</x:v>
      </x:c>
      <x:c r="F26" s="14" t="str">
        <x:v>25%</x:v>
      </x:c>
      <x:c r="G26" s="14" t="n">
        <x:v>50</x:v>
      </x:c>
      <x:c r="H26" s="14" t="str">
        <x:v>D+2</x:v>
      </x:c>
      <x:c r="I26" s="14" t="str">
        <x:v>doc20621320260704143240.pdf</x:v>
      </x:c>
      <x:c r="J26" s="14" t="str">
        <x:v>1</x:v>
      </x:c>
      <x:c r="K26" s="14" t="str">
        <x:v>REVISAR_OK</x:v>
      </x:c>
      <x:c r="L26"/>
      <x:c r="M26"/>
      <x:c r="N26"/>
      <x:c r="O26"/>
      <x:c r="P26"/>
      <x:c r="Q26"/>
      <x:c r="R26"/>
      <x:c r="S26" t="str">
        <x:v>NÃO</x:v>
      </x:c>
      <x:c r="T26" t="n">
        <x:v>0</x:v>
      </x:c>
      <x:c r="U26"/>
      <x:c r="V26" t="str">
        <x:v>SIM</x:v>
      </x:c>
      <x:c r="W26" t="str">
        <x:v>JSP</x:v>
      </x:c>
      <x:c r="X26" s="12" t="str">
        <x:v>PERCENTUAL</x:v>
      </x:c>
      <x:c r="Y26" s="12" t="str">
        <x:v>CTE</x:v>
      </x:c>
      <x:c r="Z26" s="12" t="str">
        <x:v>2.6.46</x:v>
      </x:c>
      <x:c r="AA26" s="12" t="str">
        <x:v>Pedágio JSP informado como 0,00 por CT-e na fonte.</x:v>
      </x:c>
    </x:row>
    <x:row r="27">
      <x:c r="A27" s="14" t="str">
        <x:v>REG_0026</x:v>
      </x:c>
      <x:c r="B27" s="14" t="str">
        <x:v>JSP</x:v>
      </x:c>
      <x:c r="C27" s="14" t="str">
        <x:v>REGIÃO CARAJÁS</x:v>
      </x:c>
      <x:c r="D27" s="14" t="str">
        <x:v>Eldorado dos Carajás</x:v>
      </x:c>
      <x:c r="E27" s="14" t="str">
        <x:v>PA</x:v>
      </x:c>
      <x:c r="F27" s="14" t="str">
        <x:v>25%</x:v>
      </x:c>
      <x:c r="G27" s="14" t="n">
        <x:v>50</x:v>
      </x:c>
      <x:c r="H27" s="14" t="str">
        <x:v>D+2</x:v>
      </x:c>
      <x:c r="I27" s="14" t="str">
        <x:v>doc20621320260704143240.pdf</x:v>
      </x:c>
      <x:c r="J27" s="14" t="str">
        <x:v>1</x:v>
      </x:c>
      <x:c r="K27" s="14" t="str">
        <x:v>REVISAR_OK</x:v>
      </x:c>
      <x:c r="L27"/>
      <x:c r="M27"/>
      <x:c r="N27"/>
      <x:c r="O27"/>
      <x:c r="P27"/>
      <x:c r="Q27"/>
      <x:c r="R27"/>
      <x:c r="S27" t="str">
        <x:v>NÃO</x:v>
      </x:c>
      <x:c r="T27" t="n">
        <x:v>0</x:v>
      </x:c>
      <x:c r="U27"/>
      <x:c r="V27" t="str">
        <x:v>SIM</x:v>
      </x:c>
      <x:c r="W27" t="str">
        <x:v>JSP</x:v>
      </x:c>
      <x:c r="X27" s="12" t="str">
        <x:v>PERCENTUAL</x:v>
      </x:c>
      <x:c r="Y27" s="12" t="str">
        <x:v>CTE</x:v>
      </x:c>
      <x:c r="Z27" s="12" t="str">
        <x:v>2.6.46</x:v>
      </x:c>
      <x:c r="AA27" s="12" t="str">
        <x:v>Pedágio JSP informado como 0,00 por CT-e na fonte.</x:v>
      </x:c>
    </x:row>
    <x:row r="28">
      <x:c r="A28" s="14" t="str">
        <x:v>REG_0027</x:v>
      </x:c>
      <x:c r="B28" s="14" t="str">
        <x:v>JSP</x:v>
      </x:c>
      <x:c r="C28" s="14" t="str">
        <x:v>REGIÃO CARAJÁS</x:v>
      </x:c>
      <x:c r="D28" s="14" t="str">
        <x:v>Parauapebas</x:v>
      </x:c>
      <x:c r="E28" s="14" t="str">
        <x:v>PA</x:v>
      </x:c>
      <x:c r="F28" s="14" t="str">
        <x:v>25%</x:v>
      </x:c>
      <x:c r="G28" s="14" t="n">
        <x:v>50</x:v>
      </x:c>
      <x:c r="H28" s="14" t="str">
        <x:v>D+2</x:v>
      </x:c>
      <x:c r="I28" s="14" t="str">
        <x:v>doc20621320260704143240.pdf</x:v>
      </x:c>
      <x:c r="J28" s="14" t="str">
        <x:v>1</x:v>
      </x:c>
      <x:c r="K28" s="14" t="str">
        <x:v>REVISAR_OK</x:v>
      </x:c>
      <x:c r="L28"/>
      <x:c r="M28"/>
      <x:c r="N28"/>
      <x:c r="O28"/>
      <x:c r="P28"/>
      <x:c r="Q28"/>
      <x:c r="R28"/>
      <x:c r="S28" t="str">
        <x:v>NÃO</x:v>
      </x:c>
      <x:c r="T28" t="n">
        <x:v>0</x:v>
      </x:c>
      <x:c r="U28"/>
      <x:c r="V28" t="str">
        <x:v>SIM</x:v>
      </x:c>
      <x:c r="W28" t="str">
        <x:v>JSP</x:v>
      </x:c>
      <x:c r="X28" s="12" t="str">
        <x:v>PERCENTUAL</x:v>
      </x:c>
      <x:c r="Y28" s="12" t="str">
        <x:v>CTE</x:v>
      </x:c>
      <x:c r="Z28" s="12" t="str">
        <x:v>2.7.0 RC18</x:v>
      </x:c>
      <x:c r="AA28" s="12" t="str">
        <x:v>RC18: Parauapebas = R$ 0,00 por CT-e conforme TABELA JSP oficial. Exceção RC12 removida; pedágio ausente no XML não é somado.</x:v>
      </x:c>
    </x:row>
    <x:row r="29">
      <x:c r="A29" s="14" t="str">
        <x:v>REG_0028</x:v>
      </x:c>
      <x:c r="B29" s="14" t="str">
        <x:v>JSP</x:v>
      </x:c>
      <x:c r="C29" s="14" t="str">
        <x:v>REGIÃO RIO CAPIM</x:v>
      </x:c>
      <x:c r="D29" s="14" t="str">
        <x:v>Concórdia do Pará</x:v>
      </x:c>
      <x:c r="E29" s="14" t="str">
        <x:v>PA</x:v>
      </x:c>
      <x:c r="F29" s="14" t="str">
        <x:v>30%</x:v>
      </x:c>
      <x:c r="G29" s="14" t="n">
        <x:v>50</x:v>
      </x:c>
      <x:c r="H29" s="14" t="str">
        <x:v>D+1</x:v>
      </x:c>
      <x:c r="I29" s="14" t="str">
        <x:v>doc20621320260704143240.pdf</x:v>
      </x:c>
      <x:c r="J29" s="14" t="str">
        <x:v>1</x:v>
      </x:c>
      <x:c r="K29" s="14" t="str">
        <x:v>REVISAR_OK</x:v>
      </x:c>
      <x:c r="L29"/>
      <x:c r="M29"/>
      <x:c r="N29"/>
      <x:c r="O29"/>
      <x:c r="P29"/>
      <x:c r="Q29"/>
      <x:c r="R29"/>
      <x:c r="S29" t="str">
        <x:v>SIM</x:v>
      </x:c>
      <x:c r="T29" t="n">
        <x:v>2.05</x:v>
      </x:c>
      <x:c r="U29"/>
      <x:c r="V29" t="str">
        <x:v>SIM</x:v>
      </x:c>
      <x:c r="W29" t="str">
        <x:v>JSP</x:v>
      </x:c>
      <x:c r="X29" s="12" t="str">
        <x:v>PERCENTUAL</x:v>
      </x:c>
      <x:c r="Y29" s="12" t="str">
        <x:v>CTE</x:v>
      </x:c>
      <x:c r="Z29" s="12" t="str">
        <x:v>2.6.46</x:v>
      </x:c>
      <x:c r="AA29" s="12" t="str">
        <x:v>Pedágio JSP por CT-e conforme fonte; controle visual passivo.</x:v>
      </x:c>
    </x:row>
    <x:row r="30">
      <x:c r="A30" s="14" t="str">
        <x:v>REG_0029</x:v>
      </x:c>
      <x:c r="B30" s="14" t="str">
        <x:v>JSP</x:v>
      </x:c>
      <x:c r="C30" s="14" t="str">
        <x:v>REGIÃO RIO CAPIM</x:v>
      </x:c>
      <x:c r="D30" s="14" t="str">
        <x:v>Tomé Açu</x:v>
      </x:c>
      <x:c r="E30" s="14" t="str">
        <x:v>PA</x:v>
      </x:c>
      <x:c r="F30" s="14" t="str">
        <x:v>30%</x:v>
      </x:c>
      <x:c r="G30" s="14" t="n">
        <x:v>50</x:v>
      </x:c>
      <x:c r="H30" s="14" t="str">
        <x:v>D+1</x:v>
      </x:c>
      <x:c r="I30" s="14" t="str">
        <x:v>doc20621320260704143240.pdf</x:v>
      </x:c>
      <x:c r="J30" s="14" t="str">
        <x:v>1</x:v>
      </x:c>
      <x:c r="K30" s="14" t="str">
        <x:v>REVISAR_OK</x:v>
      </x:c>
      <x:c r="L30"/>
      <x:c r="M30"/>
      <x:c r="N30"/>
      <x:c r="O30"/>
      <x:c r="P30"/>
      <x:c r="Q30"/>
      <x:c r="R30"/>
      <x:c r="S30" t="str">
        <x:v>SIM</x:v>
      </x:c>
      <x:c r="T30" t="n">
        <x:v>2.05</x:v>
      </x:c>
      <x:c r="U30"/>
      <x:c r="V30" t="str">
        <x:v>SIM</x:v>
      </x:c>
      <x:c r="W30" t="str">
        <x:v>JSP</x:v>
      </x:c>
      <x:c r="X30" s="12" t="str">
        <x:v>PERCENTUAL</x:v>
      </x:c>
      <x:c r="Y30" s="12" t="str">
        <x:v>CTE</x:v>
      </x:c>
      <x:c r="Z30" s="12" t="str">
        <x:v>2.6.46</x:v>
      </x:c>
      <x:c r="AA30" s="12" t="str">
        <x:v>Pedágio JSP por CT-e conforme fonte; controle visual passivo.</x:v>
      </x:c>
    </x:row>
    <x:row r="31">
      <x:c r="A31" s="14" t="str">
        <x:v>REG_0030</x:v>
      </x:c>
      <x:c r="B31" s="14" t="str">
        <x:v>JSP</x:v>
      </x:c>
      <x:c r="C31" s="14" t="str">
        <x:v>REGIÃO RIO CAPIM</x:v>
      </x:c>
      <x:c r="D31" s="14" t="str">
        <x:v>Bujaru</x:v>
      </x:c>
      <x:c r="E31" s="14" t="str">
        <x:v>PA</x:v>
      </x:c>
      <x:c r="F31" s="14" t="str">
        <x:v>30%</x:v>
      </x:c>
      <x:c r="G31" s="14" t="n">
        <x:v>50</x:v>
      </x:c>
      <x:c r="H31" s="14" t="str">
        <x:v>D+1</x:v>
      </x:c>
      <x:c r="I31" s="14" t="str">
        <x:v>doc20621320260704143240.pdf</x:v>
      </x:c>
      <x:c r="J31" s="14" t="str">
        <x:v>1</x:v>
      </x:c>
      <x:c r="K31" s="14" t="str">
        <x:v>REVISAR_OK</x:v>
      </x:c>
      <x:c r="L31"/>
      <x:c r="M31"/>
      <x:c r="N31"/>
      <x:c r="O31"/>
      <x:c r="P31"/>
      <x:c r="Q31"/>
      <x:c r="R31"/>
      <x:c r="S31" t="str">
        <x:v>SIM</x:v>
      </x:c>
      <x:c r="T31" t="n">
        <x:v>2.05</x:v>
      </x:c>
      <x:c r="U31"/>
      <x:c r="V31" t="str">
        <x:v>SIM</x:v>
      </x:c>
      <x:c r="W31" t="str">
        <x:v>JSP</x:v>
      </x:c>
      <x:c r="X31" s="12" t="str">
        <x:v>PERCENTUAL</x:v>
      </x:c>
      <x:c r="Y31" s="12" t="str">
        <x:v>CTE</x:v>
      </x:c>
      <x:c r="Z31" s="12" t="str">
        <x:v>2.6.46</x:v>
      </x:c>
      <x:c r="AA31" s="12" t="str">
        <x:v>Pedágio JSP por CT-e conforme fonte; controle visual passivo.</x:v>
      </x:c>
    </x:row>
    <x:row r="32">
      <x:c r="A32" s="14" t="str">
        <x:v>REG_0031</x:v>
      </x:c>
      <x:c r="B32" s="14" t="str">
        <x:v>JSP</x:v>
      </x:c>
      <x:c r="C32" s="14" t="str">
        <x:v>REGIÃO TAPAJÓS</x:v>
      </x:c>
      <x:c r="D32" s="14" t="str">
        <x:v>Crepurizão (Distrito)</x:v>
      </x:c>
      <x:c r="E32" s="14" t="str">
        <x:v>PA</x:v>
      </x:c>
      <x:c r="F32" s="14" t="str">
        <x:v>45%</x:v>
      </x:c>
      <x:c r="G32" s="14" t="n">
        <x:v>100</x:v>
      </x:c>
      <x:c r="H32" s="14" t="str">
        <x:v>D+10</x:v>
      </x:c>
      <x:c r="I32" s="14" t="str">
        <x:v>doc20621320260704143240.pdf</x:v>
      </x:c>
      <x:c r="J32" s="14" t="str">
        <x:v>1</x:v>
      </x:c>
      <x:c r="K32" s="14" t="str">
        <x:v>REVISAR_OK</x:v>
      </x:c>
      <x:c r="L32"/>
      <x:c r="M32"/>
      <x:c r="N32"/>
      <x:c r="O32"/>
      <x:c r="P32"/>
      <x:c r="Q32"/>
      <x:c r="R32"/>
      <x:c r="S32" t="str">
        <x:v>NÃO</x:v>
      </x:c>
      <x:c r="T32" t="n">
        <x:v>0</x:v>
      </x:c>
      <x:c r="U32"/>
      <x:c r="V32" t="str">
        <x:v>SIM</x:v>
      </x:c>
      <x:c r="W32" t="str">
        <x:v>JSP</x:v>
      </x:c>
      <x:c r="X32" s="12" t="str">
        <x:v>PERCENTUAL</x:v>
      </x:c>
      <x:c r="Y32" s="12" t="str">
        <x:v>CTE</x:v>
      </x:c>
      <x:c r="Z32" s="12" t="str">
        <x:v>2.6.46</x:v>
      </x:c>
      <x:c r="AA32" s="12" t="str">
        <x:v>Pedágio JSP informado como 0,00 por CT-e na fonte.</x:v>
      </x:c>
    </x:row>
    <x:row r="33">
      <x:c r="A33" s="14" t="str">
        <x:v>REG_0032</x:v>
      </x:c>
      <x:c r="B33" s="14" t="str">
        <x:v>JSP</x:v>
      </x:c>
      <x:c r="C33" s="14" t="str">
        <x:v>REGIÃO TAPAJÓS</x:v>
      </x:c>
      <x:c r="D33" s="14" t="str">
        <x:v>Crepurizinho (Distrito)</x:v>
      </x:c>
      <x:c r="E33" s="14" t="str">
        <x:v>PA</x:v>
      </x:c>
      <x:c r="F33" s="14" t="str">
        <x:v>45%</x:v>
      </x:c>
      <x:c r="G33" s="14" t="n">
        <x:v>100</x:v>
      </x:c>
      <x:c r="H33" s="14" t="str">
        <x:v>D+10</x:v>
      </x:c>
      <x:c r="I33" s="14" t="str">
        <x:v>doc20621320260704143240.pdf</x:v>
      </x:c>
      <x:c r="J33" s="14" t="str">
        <x:v>1</x:v>
      </x:c>
      <x:c r="K33" s="14" t="str">
        <x:v>REVISAR_OK</x:v>
      </x:c>
      <x:c r="L33"/>
      <x:c r="M33"/>
      <x:c r="N33"/>
      <x:c r="O33"/>
      <x:c r="P33"/>
      <x:c r="Q33"/>
      <x:c r="R33"/>
      <x:c r="S33" t="str">
        <x:v>NÃO</x:v>
      </x:c>
      <x:c r="T33" t="n">
        <x:v>0</x:v>
      </x:c>
      <x:c r="U33"/>
      <x:c r="V33" t="str">
        <x:v>SIM</x:v>
      </x:c>
      <x:c r="W33" t="str">
        <x:v>JSP</x:v>
      </x:c>
      <x:c r="X33" s="12" t="str">
        <x:v>PERCENTUAL</x:v>
      </x:c>
      <x:c r="Y33" s="12" t="str">
        <x:v>CTE</x:v>
      </x:c>
      <x:c r="Z33" s="12" t="str">
        <x:v>2.6.46</x:v>
      </x:c>
      <x:c r="AA33" s="12" t="str">
        <x:v>Pedágio JSP informado como 0,00 por CT-e na fonte.</x:v>
      </x:c>
    </x:row>
    <x:row r="34">
      <x:c r="A34" s="14" t="str">
        <x:v>REG_0033</x:v>
      </x:c>
      <x:c r="B34" s="14" t="str">
        <x:v>JSP</x:v>
      </x:c>
      <x:c r="C34" s="14" t="str">
        <x:v>REGIÃO TAPAJÓS</x:v>
      </x:c>
      <x:c r="D34" s="14" t="str">
        <x:v>Jacareacanga</x:v>
      </x:c>
      <x:c r="E34" s="14" t="str">
        <x:v>PA</x:v>
      </x:c>
      <x:c r="F34" s="14" t="str">
        <x:v>45%</x:v>
      </x:c>
      <x:c r="G34" s="14" t="n">
        <x:v>100</x:v>
      </x:c>
      <x:c r="H34" s="14" t="str">
        <x:v>D+10</x:v>
      </x:c>
      <x:c r="I34" s="14" t="str">
        <x:v>doc20621320260704143240.pdf</x:v>
      </x:c>
      <x:c r="J34" s="14" t="str">
        <x:v>1</x:v>
      </x:c>
      <x:c r="K34" s="14" t="str">
        <x:v>REVISAR_OK</x:v>
      </x:c>
      <x:c r="L34"/>
      <x:c r="M34"/>
      <x:c r="N34"/>
      <x:c r="O34"/>
      <x:c r="P34"/>
      <x:c r="Q34"/>
      <x:c r="R34"/>
      <x:c r="S34" t="str">
        <x:v>NÃO</x:v>
      </x:c>
      <x:c r="T34" t="n">
        <x:v>0</x:v>
      </x:c>
      <x:c r="U34"/>
      <x:c r="V34" t="str">
        <x:v>SIM</x:v>
      </x:c>
      <x:c r="W34" t="str">
        <x:v>JSP</x:v>
      </x:c>
      <x:c r="X34" s="12" t="str">
        <x:v>PERCENTUAL</x:v>
      </x:c>
      <x:c r="Y34" s="12" t="str">
        <x:v>CTE</x:v>
      </x:c>
      <x:c r="Z34" s="12" t="str">
        <x:v>2.6.46</x:v>
      </x:c>
      <x:c r="AA34" s="12" t="str">
        <x:v>Pedágio JSP informado como 0,00 por CT-e na fonte.</x:v>
      </x:c>
    </x:row>
    <x:row r="35">
      <x:c r="A35" s="14" t="str">
        <x:v>REG_0034</x:v>
      </x:c>
      <x:c r="B35" s="14" t="str">
        <x:v>JSP</x:v>
      </x:c>
      <x:c r="C35" s="14" t="str">
        <x:v>REGIÃO TAPAJÓS</x:v>
      </x:c>
      <x:c r="D35" s="14" t="str">
        <x:v>Moraes de Almeida</x:v>
      </x:c>
      <x:c r="E35" s="14" t="str">
        <x:v>PA</x:v>
      </x:c>
      <x:c r="F35" s="14" t="str">
        <x:v>45%</x:v>
      </x:c>
      <x:c r="G35" s="14" t="n">
        <x:v>100</x:v>
      </x:c>
      <x:c r="H35" s="14" t="str">
        <x:v>D+10</x:v>
      </x:c>
      <x:c r="I35" s="14" t="str">
        <x:v>doc20621320260704143240.pdf</x:v>
      </x:c>
      <x:c r="J35" s="14" t="str">
        <x:v>1</x:v>
      </x:c>
      <x:c r="K35" s="14" t="str">
        <x:v>REVISAR_OK</x:v>
      </x:c>
      <x:c r="L35"/>
      <x:c r="M35"/>
      <x:c r="N35"/>
      <x:c r="O35"/>
      <x:c r="P35"/>
      <x:c r="Q35"/>
      <x:c r="R35"/>
      <x:c r="S35" t="str">
        <x:v>NÃO</x:v>
      </x:c>
      <x:c r="T35" t="n">
        <x:v>0</x:v>
      </x:c>
      <x:c r="U35"/>
      <x:c r="V35" t="str">
        <x:v>SIM</x:v>
      </x:c>
      <x:c r="W35" t="str">
        <x:v>JSP</x:v>
      </x:c>
      <x:c r="X35" s="12" t="str">
        <x:v>PERCENTUAL</x:v>
      </x:c>
      <x:c r="Y35" s="12" t="str">
        <x:v>CTE</x:v>
      </x:c>
      <x:c r="Z35" s="12" t="str">
        <x:v>2.6.46</x:v>
      </x:c>
      <x:c r="AA35" s="12" t="str">
        <x:v>Pedágio JSP informado como 0,00 por CT-e na fonte.</x:v>
      </x:c>
    </x:row>
    <x:row r="36">
      <x:c r="A36" s="14" t="str">
        <x:v>REG_0035</x:v>
      </x:c>
      <x:c r="B36" s="14" t="str">
        <x:v>JSP</x:v>
      </x:c>
      <x:c r="C36" s="14" t="str">
        <x:v>REGIÃO TAPAJÓS</x:v>
      </x:c>
      <x:c r="D36" s="14" t="str">
        <x:v>Caracol</x:v>
      </x:c>
      <x:c r="E36" s="14" t="str">
        <x:v>PA</x:v>
      </x:c>
      <x:c r="F36" s="14" t="str">
        <x:v>45%</x:v>
      </x:c>
      <x:c r="G36" s="14" t="n">
        <x:v>100</x:v>
      </x:c>
      <x:c r="H36" s="14" t="str">
        <x:v>D+14</x:v>
      </x:c>
      <x:c r="I36" s="14" t="str">
        <x:v>doc20621320260704143240.pdf</x:v>
      </x:c>
      <x:c r="J36" s="14" t="str">
        <x:v>1</x:v>
      </x:c>
      <x:c r="K36" s="14" t="str">
        <x:v>REVISAR_OK</x:v>
      </x:c>
      <x:c r="L36"/>
      <x:c r="M36"/>
      <x:c r="N36"/>
      <x:c r="O36"/>
      <x:c r="P36"/>
      <x:c r="Q36"/>
      <x:c r="R36"/>
      <x:c r="S36" t="str">
        <x:v>NÃO</x:v>
      </x:c>
      <x:c r="T36" t="n">
        <x:v>0</x:v>
      </x:c>
      <x:c r="U36"/>
      <x:c r="V36" t="str">
        <x:v>SIM</x:v>
      </x:c>
      <x:c r="W36" t="str">
        <x:v>JSP</x:v>
      </x:c>
      <x:c r="X36" s="12" t="str">
        <x:v>PERCENTUAL</x:v>
      </x:c>
      <x:c r="Y36" s="12" t="str">
        <x:v>CTE</x:v>
      </x:c>
      <x:c r="Z36" s="12" t="str">
        <x:v>2.6.46</x:v>
      </x:c>
      <x:c r="AA36" s="12" t="str">
        <x:v>Pedágio JSP informado como 0,00 por CT-e na fonte.</x:v>
      </x:c>
    </x:row>
    <x:row r="37">
      <x:c r="A37" s="14" t="str">
        <x:v>REG_0036</x:v>
      </x:c>
      <x:c r="B37" s="14" t="str">
        <x:v>JSP</x:v>
      </x:c>
      <x:c r="C37" s="14" t="str">
        <x:v>REGIÃO TAPAJÓS</x:v>
      </x:c>
      <x:c r="D37" s="14" t="str">
        <x:v>Crepurizinho</x:v>
      </x:c>
      <x:c r="E37" s="14" t="str">
        <x:v>PA</x:v>
      </x:c>
      <x:c r="F37" s="14" t="str">
        <x:v>45%</x:v>
      </x:c>
      <x:c r="G37" s="14" t="n">
        <x:v>100</x:v>
      </x:c>
      <x:c r="H37" s="14" t="str">
        <x:v>D+14</x:v>
      </x:c>
      <x:c r="I37" s="14" t="str">
        <x:v>doc20621320260704143240.pdf</x:v>
      </x:c>
      <x:c r="J37" s="14" t="str">
        <x:v>1</x:v>
      </x:c>
      <x:c r="K37" s="14" t="str">
        <x:v>REVISAR_OK</x:v>
      </x:c>
      <x:c r="L37"/>
      <x:c r="M37"/>
      <x:c r="N37"/>
      <x:c r="O37"/>
      <x:c r="P37"/>
      <x:c r="Q37"/>
      <x:c r="R37"/>
      <x:c r="S37" t="str">
        <x:v>NÃO</x:v>
      </x:c>
      <x:c r="T37" t="n">
        <x:v>0</x:v>
      </x:c>
      <x:c r="U37"/>
      <x:c r="V37" t="str">
        <x:v>SIM</x:v>
      </x:c>
      <x:c r="W37" t="str">
        <x:v>JSP</x:v>
      </x:c>
      <x:c r="X37" s="12" t="str">
        <x:v>PERCENTUAL</x:v>
      </x:c>
      <x:c r="Y37" s="12" t="str">
        <x:v>CTE</x:v>
      </x:c>
      <x:c r="Z37" s="12" t="str">
        <x:v>2.6.46</x:v>
      </x:c>
      <x:c r="AA37" s="12" t="str">
        <x:v>Pedágio JSP informado como 0,00 por CT-e na fonte.</x:v>
      </x:c>
    </x:row>
    <x:row r="38">
      <x:c r="A38" s="14" t="str">
        <x:v>REG_0037</x:v>
      </x:c>
      <x:c r="B38" s="14" t="str">
        <x:v>JSP</x:v>
      </x:c>
      <x:c r="C38" s="14" t="str">
        <x:v>REGIÃO TAPAJÓS</x:v>
      </x:c>
      <x:c r="D38" s="14" t="str">
        <x:v>Faro</x:v>
      </x:c>
      <x:c r="E38" s="14" t="str">
        <x:v>PA</x:v>
      </x:c>
      <x:c r="F38" s="14" t="str">
        <x:v>45%</x:v>
      </x:c>
      <x:c r="G38" s="14" t="n">
        <x:v>100</x:v>
      </x:c>
      <x:c r="H38" s="14" t="str">
        <x:v>D+14</x:v>
      </x:c>
      <x:c r="I38" s="14" t="str">
        <x:v>doc20621320260704143240.pdf</x:v>
      </x:c>
      <x:c r="J38" s="14" t="str">
        <x:v>1</x:v>
      </x:c>
      <x:c r="K38" s="14" t="str">
        <x:v>REVISAR_OK</x:v>
      </x:c>
      <x:c r="L38"/>
      <x:c r="M38"/>
      <x:c r="N38"/>
      <x:c r="O38"/>
      <x:c r="P38"/>
      <x:c r="Q38"/>
      <x:c r="R38"/>
      <x:c r="S38" t="str">
        <x:v>NÃO</x:v>
      </x:c>
      <x:c r="T38" t="n">
        <x:v>0</x:v>
      </x:c>
      <x:c r="U38"/>
      <x:c r="V38" t="str">
        <x:v>SIM</x:v>
      </x:c>
      <x:c r="W38" t="str">
        <x:v>JSP</x:v>
      </x:c>
      <x:c r="X38" s="12" t="str">
        <x:v>PERCENTUAL</x:v>
      </x:c>
      <x:c r="Y38" s="12" t="str">
        <x:v>CTE</x:v>
      </x:c>
      <x:c r="Z38" s="12" t="str">
        <x:v>2.6.46</x:v>
      </x:c>
      <x:c r="AA38" s="12" t="str">
        <x:v>Pedágio JSP informado como 0,00 por CT-e na fonte.</x:v>
      </x:c>
    </x:row>
    <x:row r="39">
      <x:c r="A39" s="14" t="str">
        <x:v>REG_0038</x:v>
      </x:c>
      <x:c r="B39" s="14" t="str">
        <x:v>JSP</x:v>
      </x:c>
      <x:c r="C39" s="14" t="str">
        <x:v>REGIÃO TAPAJÓS</x:v>
      </x:c>
      <x:c r="D39" s="14" t="str">
        <x:v>Santarém</x:v>
      </x:c>
      <x:c r="E39" s="14" t="str">
        <x:v>PA</x:v>
      </x:c>
      <x:c r="F39" s="14" t="str">
        <x:v>45%</x:v>
      </x:c>
      <x:c r="G39" s="14" t="n">
        <x:v>100</x:v>
      </x:c>
      <x:c r="H39" s="14" t="str">
        <x:v>D+14</x:v>
      </x:c>
      <x:c r="I39" s="14" t="str">
        <x:v>doc20621320260704143240.pdf</x:v>
      </x:c>
      <x:c r="J39" s="14" t="str">
        <x:v>1</x:v>
      </x:c>
      <x:c r="K39" s="14" t="str">
        <x:v>REVISAR_OK</x:v>
      </x:c>
      <x:c r="L39"/>
      <x:c r="M39"/>
      <x:c r="N39"/>
      <x:c r="O39"/>
      <x:c r="P39"/>
      <x:c r="Q39"/>
      <x:c r="R39"/>
      <x:c r="S39" t="str">
        <x:v>NÃO</x:v>
      </x:c>
      <x:c r="T39" t="n">
        <x:v>0</x:v>
      </x:c>
      <x:c r="U39"/>
      <x:c r="V39" t="str">
        <x:v>SIM</x:v>
      </x:c>
      <x:c r="W39" t="str">
        <x:v>JSP</x:v>
      </x:c>
      <x:c r="X39" s="12" t="str">
        <x:v>PERCENTUAL</x:v>
      </x:c>
      <x:c r="Y39" s="12" t="str">
        <x:v>CTE</x:v>
      </x:c>
      <x:c r="Z39" s="12" t="str">
        <x:v>2.6.46</x:v>
      </x:c>
      <x:c r="AA39" s="12" t="str">
        <x:v>Pedágio JSP informado como 0,00 por CT-e na fonte.</x:v>
      </x:c>
    </x:row>
    <x:row r="40">
      <x:c r="A40" s="14" t="str">
        <x:v>REG_0039</x:v>
      </x:c>
      <x:c r="B40" s="14" t="str">
        <x:v>JSP</x:v>
      </x:c>
      <x:c r="C40" s="14" t="str">
        <x:v>REGIÃO TAPAJÓS</x:v>
      </x:c>
      <x:c r="D40" s="14" t="str">
        <x:v>Mojuí dos Campos</x:v>
      </x:c>
      <x:c r="E40" s="14" t="str">
        <x:v>PA</x:v>
      </x:c>
      <x:c r="F40" s="14" t="str">
        <x:v>45%</x:v>
      </x:c>
      <x:c r="G40" s="14" t="n">
        <x:v>100</x:v>
      </x:c>
      <x:c r="H40" s="14" t="str">
        <x:v>D+5</x:v>
      </x:c>
      <x:c r="I40" s="14" t="str">
        <x:v>doc20621320260704143240.pdf</x:v>
      </x:c>
      <x:c r="J40" s="14" t="str">
        <x:v>1</x:v>
      </x:c>
      <x:c r="K40" s="14" t="str">
        <x:v>REVISAR_OK</x:v>
      </x:c>
      <x:c r="L40"/>
      <x:c r="M40"/>
      <x:c r="N40"/>
      <x:c r="O40"/>
      <x:c r="P40"/>
      <x:c r="Q40"/>
      <x:c r="R40"/>
      <x:c r="S40" t="str">
        <x:v>NÃO</x:v>
      </x:c>
      <x:c r="T40" t="n">
        <x:v>0</x:v>
      </x:c>
      <x:c r="U40"/>
      <x:c r="V40" t="str">
        <x:v>SIM</x:v>
      </x:c>
      <x:c r="W40" t="str">
        <x:v>JSP</x:v>
      </x:c>
      <x:c r="X40" s="12" t="str">
        <x:v>PERCENTUAL</x:v>
      </x:c>
      <x:c r="Y40" s="12" t="str">
        <x:v>CTE</x:v>
      </x:c>
      <x:c r="Z40" s="12" t="str">
        <x:v>2.6.46</x:v>
      </x:c>
      <x:c r="AA40" s="12" t="str">
        <x:v>Pedágio JSP informado como 0,00 por CT-e na fonte.</x:v>
      </x:c>
    </x:row>
    <x:row r="41">
      <x:c r="A41" s="14" t="str">
        <x:v>REG_0040</x:v>
      </x:c>
      <x:c r="B41" s="14" t="str">
        <x:v>JSP</x:v>
      </x:c>
      <x:c r="C41" s="14" t="str">
        <x:v>REGIÃO TAPAJÓS</x:v>
      </x:c>
      <x:c r="D41" s="14" t="str">
        <x:v>Belterra</x:v>
      </x:c>
      <x:c r="E41" s="14" t="str">
        <x:v>PA</x:v>
      </x:c>
      <x:c r="F41" s="14" t="str">
        <x:v>45%</x:v>
      </x:c>
      <x:c r="G41" s="14" t="n">
        <x:v>100</x:v>
      </x:c>
      <x:c r="H41" s="14" t="str">
        <x:v>D+6</x:v>
      </x:c>
      <x:c r="I41" s="14" t="str">
        <x:v>doc20621320260704143240.pdf</x:v>
      </x:c>
      <x:c r="J41" s="14" t="str">
        <x:v>1</x:v>
      </x:c>
      <x:c r="K41" s="14" t="str">
        <x:v>REVISAR_OK</x:v>
      </x:c>
      <x:c r="L41"/>
      <x:c r="M41"/>
      <x:c r="N41"/>
      <x:c r="O41"/>
      <x:c r="P41"/>
      <x:c r="Q41"/>
      <x:c r="R41"/>
      <x:c r="S41" t="str">
        <x:v>NÃO</x:v>
      </x:c>
      <x:c r="T41" t="n">
        <x:v>0</x:v>
      </x:c>
      <x:c r="U41"/>
      <x:c r="V41" t="str">
        <x:v>SIM</x:v>
      </x:c>
      <x:c r="W41" t="str">
        <x:v>JSP</x:v>
      </x:c>
      <x:c r="X41" s="12" t="str">
        <x:v>PERCENTUAL</x:v>
      </x:c>
      <x:c r="Y41" s="12" t="str">
        <x:v>CTE</x:v>
      </x:c>
      <x:c r="Z41" s="12" t="str">
        <x:v>2.6.46</x:v>
      </x:c>
      <x:c r="AA41" s="12" t="str">
        <x:v>Pedágio JSP informado como 0,00 por CT-e na fonte.</x:v>
      </x:c>
    </x:row>
    <x:row r="42">
      <x:c r="A42" s="14" t="str">
        <x:v>REG_0041</x:v>
      </x:c>
      <x:c r="B42" s="14" t="str">
        <x:v>JSP</x:v>
      </x:c>
      <x:c r="C42" s="14" t="str">
        <x:v>REGIÃO TAPAJÓS</x:v>
      </x:c>
      <x:c r="D42" s="14" t="str">
        <x:v>Placas</x:v>
      </x:c>
      <x:c r="E42" s="14" t="str">
        <x:v>PA</x:v>
      </x:c>
      <x:c r="F42" s="14" t="str">
        <x:v>45%</x:v>
      </x:c>
      <x:c r="G42" s="14" t="n">
        <x:v>100</x:v>
      </x:c>
      <x:c r="H42" s="14" t="str">
        <x:v>D+6</x:v>
      </x:c>
      <x:c r="I42" s="14" t="str">
        <x:v>doc20621320260704143240.pdf</x:v>
      </x:c>
      <x:c r="J42" s="14" t="str">
        <x:v>1</x:v>
      </x:c>
      <x:c r="K42" s="14" t="str">
        <x:v>REVISAR_OK</x:v>
      </x:c>
      <x:c r="L42"/>
      <x:c r="M42"/>
      <x:c r="N42"/>
      <x:c r="O42"/>
      <x:c r="P42"/>
      <x:c r="Q42"/>
      <x:c r="R42"/>
      <x:c r="S42" t="str">
        <x:v>NÃO</x:v>
      </x:c>
      <x:c r="T42" t="n">
        <x:v>0</x:v>
      </x:c>
      <x:c r="U42"/>
      <x:c r="V42" t="str">
        <x:v>SIM</x:v>
      </x:c>
      <x:c r="W42" t="str">
        <x:v>JSP</x:v>
      </x:c>
      <x:c r="X42" s="12" t="str">
        <x:v>PERCENTUAL</x:v>
      </x:c>
      <x:c r="Y42" s="12" t="str">
        <x:v>CTE</x:v>
      </x:c>
      <x:c r="Z42" s="12" t="str">
        <x:v>2.6.46</x:v>
      </x:c>
      <x:c r="AA42" s="12" t="str">
        <x:v>Pedágio JSP informado como 0,00 por CT-e na fonte.</x:v>
      </x:c>
    </x:row>
    <x:row r="43">
      <x:c r="A43" s="14" t="str">
        <x:v>REG_0042</x:v>
      </x:c>
      <x:c r="B43" s="14" t="str">
        <x:v>JSP</x:v>
      </x:c>
      <x:c r="C43" s="14" t="str">
        <x:v>REGIÃO TAPAJÓS</x:v>
      </x:c>
      <x:c r="D43" s="14" t="str">
        <x:v>Rurópolis</x:v>
      </x:c>
      <x:c r="E43" s="14" t="str">
        <x:v>PA</x:v>
      </x:c>
      <x:c r="F43" s="14" t="str">
        <x:v>45%</x:v>
      </x:c>
      <x:c r="G43" s="14" t="n">
        <x:v>100</x:v>
      </x:c>
      <x:c r="H43" s="14" t="str">
        <x:v>D+6</x:v>
      </x:c>
      <x:c r="I43" s="14" t="str">
        <x:v>doc20621320260704143240.pdf</x:v>
      </x:c>
      <x:c r="J43" s="14" t="str">
        <x:v>1</x:v>
      </x:c>
      <x:c r="K43" s="14" t="str">
        <x:v>REVISAR_OK</x:v>
      </x:c>
      <x:c r="L43"/>
      <x:c r="M43"/>
      <x:c r="N43"/>
      <x:c r="O43"/>
      <x:c r="P43"/>
      <x:c r="Q43"/>
      <x:c r="R43"/>
      <x:c r="S43" t="str">
        <x:v>NÃO</x:v>
      </x:c>
      <x:c r="T43" t="n">
        <x:v>0</x:v>
      </x:c>
      <x:c r="U43"/>
      <x:c r="V43" t="str">
        <x:v>SIM</x:v>
      </x:c>
      <x:c r="W43" t="str">
        <x:v>JSP</x:v>
      </x:c>
      <x:c r="X43" s="12" t="str">
        <x:v>PERCENTUAL</x:v>
      </x:c>
      <x:c r="Y43" s="12" t="str">
        <x:v>CTE</x:v>
      </x:c>
      <x:c r="Z43" s="12" t="str">
        <x:v>2.6.46</x:v>
      </x:c>
      <x:c r="AA43" s="12" t="str">
        <x:v>Pedágio JSP informado como 0,00 por CT-e na fonte.</x:v>
      </x:c>
    </x:row>
    <x:row r="44">
      <x:c r="A44" s="14" t="str">
        <x:v>REG_0043</x:v>
      </x:c>
      <x:c r="B44" s="14" t="str">
        <x:v>JSP</x:v>
      </x:c>
      <x:c r="C44" s="14" t="str">
        <x:v>REGIÃO TAPAJÓS</x:v>
      </x:c>
      <x:c r="D44" s="14" t="str">
        <x:v>Itaituba</x:v>
      </x:c>
      <x:c r="E44" s="14" t="str">
        <x:v>PA</x:v>
      </x:c>
      <x:c r="F44" s="14" t="str">
        <x:v>45%</x:v>
      </x:c>
      <x:c r="G44" s="14" t="n">
        <x:v>100</x:v>
      </x:c>
      <x:c r="H44" s="14" t="str">
        <x:v>D+7</x:v>
      </x:c>
      <x:c r="I44" s="14" t="str">
        <x:v>doc20621320260704143240.pdf</x:v>
      </x:c>
      <x:c r="J44" s="14" t="str">
        <x:v>1</x:v>
      </x:c>
      <x:c r="K44" s="14" t="str">
        <x:v>REVISAR_OK</x:v>
      </x:c>
      <x:c r="L44"/>
      <x:c r="M44"/>
      <x:c r="N44"/>
      <x:c r="O44"/>
      <x:c r="P44"/>
      <x:c r="Q44"/>
      <x:c r="R44"/>
      <x:c r="S44" t="str">
        <x:v>NÃO</x:v>
      </x:c>
      <x:c r="T44" t="n">
        <x:v>0</x:v>
      </x:c>
      <x:c r="U44"/>
      <x:c r="V44" t="str">
        <x:v>SIM</x:v>
      </x:c>
      <x:c r="W44" t="str">
        <x:v>JSP</x:v>
      </x:c>
      <x:c r="X44" s="12" t="str">
        <x:v>PERCENTUAL</x:v>
      </x:c>
      <x:c r="Y44" s="12" t="str">
        <x:v>CTE</x:v>
      </x:c>
      <x:c r="Z44" s="12" t="str">
        <x:v>2.6.46</x:v>
      </x:c>
      <x:c r="AA44" s="12" t="str">
        <x:v>Pedágio JSP informado como 0,00 por CT-e na fonte.</x:v>
      </x:c>
    </x:row>
    <x:row r="45">
      <x:c r="A45" s="14" t="str">
        <x:v>REG_0044</x:v>
      </x:c>
      <x:c r="B45" s="14" t="str">
        <x:v>JSP</x:v>
      </x:c>
      <x:c r="C45" s="14" t="str">
        <x:v>REGIÃO TAPAJÓS</x:v>
      </x:c>
      <x:c r="D45" s="14" t="str">
        <x:v>Moraes de Almeida (Distrito)</x:v>
      </x:c>
      <x:c r="E45" s="14" t="str">
        <x:v>PA</x:v>
      </x:c>
      <x:c r="F45" s="14" t="str">
        <x:v>45%</x:v>
      </x:c>
      <x:c r="G45" s="14" t="n">
        <x:v>100</x:v>
      </x:c>
      <x:c r="H45" s="14" t="str">
        <x:v>D+7</x:v>
      </x:c>
      <x:c r="I45" s="14" t="str">
        <x:v>doc20621320260704143240.pdf</x:v>
      </x:c>
      <x:c r="J45" s="14" t="str">
        <x:v>1</x:v>
      </x:c>
      <x:c r="K45" s="14" t="str">
        <x:v>REVISAR_OK</x:v>
      </x:c>
      <x:c r="L45"/>
      <x:c r="M45"/>
      <x:c r="N45"/>
      <x:c r="O45"/>
      <x:c r="P45"/>
      <x:c r="Q45"/>
      <x:c r="R45"/>
      <x:c r="S45" t="str">
        <x:v>NÃO</x:v>
      </x:c>
      <x:c r="T45" t="n">
        <x:v>0</x:v>
      </x:c>
      <x:c r="U45"/>
      <x:c r="V45" t="str">
        <x:v>SIM</x:v>
      </x:c>
      <x:c r="W45" t="str">
        <x:v>JSP</x:v>
      </x:c>
      <x:c r="X45" s="12" t="str">
        <x:v>PERCENTUAL</x:v>
      </x:c>
      <x:c r="Y45" s="12" t="str">
        <x:v>CTE</x:v>
      </x:c>
      <x:c r="Z45" s="12" t="str">
        <x:v>2.6.46</x:v>
      </x:c>
      <x:c r="AA45" s="12" t="str">
        <x:v>Pedágio JSP informado como 0,00 por CT-e na fonte.</x:v>
      </x:c>
    </x:row>
    <x:row r="46">
      <x:c r="A46" s="14" t="str">
        <x:v>REG_0045</x:v>
      </x:c>
      <x:c r="B46" s="14" t="str">
        <x:v>JSP</x:v>
      </x:c>
      <x:c r="C46" s="14" t="str">
        <x:v>REGIÃO TAPAJÓS</x:v>
      </x:c>
      <x:c r="D46" s="14" t="str">
        <x:v>Novo Progresso</x:v>
      </x:c>
      <x:c r="E46" s="14" t="str">
        <x:v>PA</x:v>
      </x:c>
      <x:c r="F46" s="14" t="str">
        <x:v>45%</x:v>
      </x:c>
      <x:c r="G46" s="14" t="n">
        <x:v>100</x:v>
      </x:c>
      <x:c r="H46" s="14" t="str">
        <x:v>D+8</x:v>
      </x:c>
      <x:c r="I46" s="14" t="str">
        <x:v>doc20621320260704143240.pdf</x:v>
      </x:c>
      <x:c r="J46" s="14" t="str">
        <x:v>1</x:v>
      </x:c>
      <x:c r="K46" s="14" t="str">
        <x:v>REVISAR_OK</x:v>
      </x:c>
      <x:c r="L46"/>
      <x:c r="M46"/>
      <x:c r="N46"/>
      <x:c r="O46"/>
      <x:c r="P46"/>
      <x:c r="Q46"/>
      <x:c r="R46"/>
      <x:c r="S46" t="str">
        <x:v>NÃO</x:v>
      </x:c>
      <x:c r="T46" t="n">
        <x:v>0</x:v>
      </x:c>
      <x:c r="U46"/>
      <x:c r="V46" t="str">
        <x:v>SIM</x:v>
      </x:c>
      <x:c r="W46" t="str">
        <x:v>JSP</x:v>
      </x:c>
      <x:c r="X46" s="12" t="str">
        <x:v>PERCENTUAL</x:v>
      </x:c>
      <x:c r="Y46" s="12" t="str">
        <x:v>CTE</x:v>
      </x:c>
      <x:c r="Z46" s="12" t="str">
        <x:v>2.6.46</x:v>
      </x:c>
      <x:c r="AA46" s="12" t="str">
        <x:v>Pedágio JSP informado como 0,00 por CT-e na fonte.</x:v>
      </x:c>
    </x:row>
    <x:row r="47">
      <x:c r="A47" s="14" t="str">
        <x:v>REG_0046</x:v>
      </x:c>
      <x:c r="B47" s="14" t="str">
        <x:v>JSP</x:v>
      </x:c>
      <x:c r="C47" s="14" t="str">
        <x:v>REGIÃO TAPAJÓS</x:v>
      </x:c>
      <x:c r="D47" s="14" t="str">
        <x:v>Alenquer</x:v>
      </x:c>
      <x:c r="E47" s="14" t="str">
        <x:v>PA</x:v>
      </x:c>
      <x:c r="F47" s="14" t="str">
        <x:v>45%</x:v>
      </x:c>
      <x:c r="G47" s="14" t="n">
        <x:v>100</x:v>
      </x:c>
      <x:c r="H47" s="14" t="str">
        <x:v>D+8</x:v>
      </x:c>
      <x:c r="I47" s="14" t="str">
        <x:v>doc20621320260704143240.pdf</x:v>
      </x:c>
      <x:c r="J47" s="14" t="str">
        <x:v>2</x:v>
      </x:c>
      <x:c r="K47" s="14" t="str">
        <x:v>REVISAR_OK</x:v>
      </x:c>
      <x:c r="L47"/>
      <x:c r="M47"/>
      <x:c r="N47"/>
      <x:c r="O47"/>
      <x:c r="P47"/>
      <x:c r="Q47"/>
      <x:c r="R47"/>
      <x:c r="S47" t="str">
        <x:v>NÃO</x:v>
      </x:c>
      <x:c r="T47" t="n">
        <x:v>0</x:v>
      </x:c>
      <x:c r="U47"/>
      <x:c r="V47" t="str">
        <x:v>SIM</x:v>
      </x:c>
      <x:c r="W47" t="str">
        <x:v>JSP</x:v>
      </x:c>
      <x:c r="X47" s="12" t="str">
        <x:v>PERCENTUAL</x:v>
      </x:c>
      <x:c r="Y47" s="12" t="str">
        <x:v>CTE</x:v>
      </x:c>
      <x:c r="Z47" s="12" t="str">
        <x:v>2.6.46</x:v>
      </x:c>
      <x:c r="AA47" s="12" t="str">
        <x:v>Pedágio JSP informado como 0,00 por CT-e na fonte.</x:v>
      </x:c>
    </x:row>
    <x:row r="48">
      <x:c r="A48" s="14" t="str">
        <x:v>REG_0047</x:v>
      </x:c>
      <x:c r="B48" s="14" t="str">
        <x:v>JSP</x:v>
      </x:c>
      <x:c r="C48" s="14" t="str">
        <x:v>REGIÃO TAPAJÓS</x:v>
      </x:c>
      <x:c r="D48" s="14" t="str">
        <x:v>Almeirim</x:v>
      </x:c>
      <x:c r="E48" s="14" t="str">
        <x:v>PA</x:v>
      </x:c>
      <x:c r="F48" s="14" t="str">
        <x:v>45%</x:v>
      </x:c>
      <x:c r="G48" s="14" t="n">
        <x:v>100</x:v>
      </x:c>
      <x:c r="H48" s="14" t="str">
        <x:v>D+8</x:v>
      </x:c>
      <x:c r="I48" s="14" t="str">
        <x:v>doc20621320260704143240.pdf</x:v>
      </x:c>
      <x:c r="J48" s="14" t="str">
        <x:v>2</x:v>
      </x:c>
      <x:c r="K48" s="14" t="str">
        <x:v>REVISAR_OK</x:v>
      </x:c>
      <x:c r="L48"/>
      <x:c r="M48"/>
      <x:c r="N48"/>
      <x:c r="O48"/>
      <x:c r="P48"/>
      <x:c r="Q48"/>
      <x:c r="R48"/>
      <x:c r="S48" t="str">
        <x:v>NÃO</x:v>
      </x:c>
      <x:c r="T48" t="n">
        <x:v>0</x:v>
      </x:c>
      <x:c r="U48"/>
      <x:c r="V48" t="str">
        <x:v>SIM</x:v>
      </x:c>
      <x:c r="W48" t="str">
        <x:v>JSP</x:v>
      </x:c>
      <x:c r="X48" s="12" t="str">
        <x:v>PERCENTUAL</x:v>
      </x:c>
      <x:c r="Y48" s="12" t="str">
        <x:v>CTE</x:v>
      </x:c>
      <x:c r="Z48" s="12" t="str">
        <x:v>2.6.46</x:v>
      </x:c>
      <x:c r="AA48" s="12" t="str">
        <x:v>Pedágio JSP informado como 0,00 por CT-e na fonte.</x:v>
      </x:c>
    </x:row>
    <x:row r="49">
      <x:c r="A49" s="14" t="str">
        <x:v>REG_0048</x:v>
      </x:c>
      <x:c r="B49" s="14" t="str">
        <x:v>JSP</x:v>
      </x:c>
      <x:c r="C49" s="14" t="str">
        <x:v>REGIÃO TAPAJÓS</x:v>
      </x:c>
      <x:c r="D49" s="14" t="str">
        <x:v>Aveiro</x:v>
      </x:c>
      <x:c r="E49" s="14" t="str">
        <x:v>PA</x:v>
      </x:c>
      <x:c r="F49" s="14" t="str">
        <x:v>45%</x:v>
      </x:c>
      <x:c r="G49" s="14" t="n">
        <x:v>100</x:v>
      </x:c>
      <x:c r="H49" s="14" t="str">
        <x:v>D+8</x:v>
      </x:c>
      <x:c r="I49" s="14" t="str">
        <x:v>doc20621320260704143240.pdf</x:v>
      </x:c>
      <x:c r="J49" s="14" t="str">
        <x:v>2</x:v>
      </x:c>
      <x:c r="K49" s="14" t="str">
        <x:v>REVISAR_OK</x:v>
      </x:c>
      <x:c r="L49"/>
      <x:c r="M49"/>
      <x:c r="N49"/>
      <x:c r="O49"/>
      <x:c r="P49"/>
      <x:c r="Q49"/>
      <x:c r="R49"/>
      <x:c r="S49" t="str">
        <x:v>NÃO</x:v>
      </x:c>
      <x:c r="T49" t="n">
        <x:v>0</x:v>
      </x:c>
      <x:c r="U49"/>
      <x:c r="V49" t="str">
        <x:v>SIM</x:v>
      </x:c>
      <x:c r="W49" t="str">
        <x:v>JSP</x:v>
      </x:c>
      <x:c r="X49" s="12" t="str">
        <x:v>PERCENTUAL</x:v>
      </x:c>
      <x:c r="Y49" s="12" t="str">
        <x:v>CTE</x:v>
      </x:c>
      <x:c r="Z49" s="12" t="str">
        <x:v>2.6.46</x:v>
      </x:c>
      <x:c r="AA49" s="12" t="str">
        <x:v>Pedágio JSP informado como 0,00 por CT-e na fonte.</x:v>
      </x:c>
    </x:row>
    <x:row r="50">
      <x:c r="A50" s="14" t="str">
        <x:v>REG_0049</x:v>
      </x:c>
      <x:c r="B50" s="14" t="str">
        <x:v>JSP</x:v>
      </x:c>
      <x:c r="C50" s="14" t="str">
        <x:v>REGIÃO TAPAJÓS</x:v>
      </x:c>
      <x:c r="D50" s="14" t="str">
        <x:v>Cachoeira da Serra</x:v>
      </x:c>
      <x:c r="E50" s="14" t="str">
        <x:v>PA</x:v>
      </x:c>
      <x:c r="F50" s="14" t="str">
        <x:v>45%</x:v>
      </x:c>
      <x:c r="G50" s="14" t="n">
        <x:v>100</x:v>
      </x:c>
      <x:c r="H50" s="14" t="str">
        <x:v>D+8</x:v>
      </x:c>
      <x:c r="I50" s="14" t="str">
        <x:v>doc20621320260704143240.pdf</x:v>
      </x:c>
      <x:c r="J50" s="14" t="str">
        <x:v>2</x:v>
      </x:c>
      <x:c r="K50" s="14" t="str">
        <x:v>REVISAR_OK</x:v>
      </x:c>
      <x:c r="L50"/>
      <x:c r="M50"/>
      <x:c r="N50"/>
      <x:c r="O50"/>
      <x:c r="P50"/>
      <x:c r="Q50"/>
      <x:c r="R50"/>
      <x:c r="S50" t="str">
        <x:v>NÃO</x:v>
      </x:c>
      <x:c r="T50" t="n">
        <x:v>0</x:v>
      </x:c>
      <x:c r="U50"/>
      <x:c r="V50" t="str">
        <x:v>SIM</x:v>
      </x:c>
      <x:c r="W50" t="str">
        <x:v>JSP</x:v>
      </x:c>
      <x:c r="X50" s="12" t="str">
        <x:v>PERCENTUAL</x:v>
      </x:c>
      <x:c r="Y50" s="12" t="str">
        <x:v>CTE</x:v>
      </x:c>
      <x:c r="Z50" s="12" t="str">
        <x:v>2.6.46</x:v>
      </x:c>
      <x:c r="AA50" s="12" t="str">
        <x:v>Pedágio JSP informado como 0,00 por CT-e na fonte.</x:v>
      </x:c>
    </x:row>
    <x:row r="51">
      <x:c r="A51" s="14" t="str">
        <x:v>REG_0050</x:v>
      </x:c>
      <x:c r="B51" s="14" t="str">
        <x:v>JSP</x:v>
      </x:c>
      <x:c r="C51" s="14" t="str">
        <x:v>REGIÃO TAPAJÓS</x:v>
      </x:c>
      <x:c r="D51" s="14" t="str">
        <x:v>Castelo dos Sonhos</x:v>
      </x:c>
      <x:c r="E51" s="14" t="str">
        <x:v>PA</x:v>
      </x:c>
      <x:c r="F51" s="14" t="str">
        <x:v>45%</x:v>
      </x:c>
      <x:c r="G51" s="14" t="n">
        <x:v>100</x:v>
      </x:c>
      <x:c r="H51" s="14" t="str">
        <x:v>D+8</x:v>
      </x:c>
      <x:c r="I51" s="14" t="str">
        <x:v>doc20621320260704143240.pdf</x:v>
      </x:c>
      <x:c r="J51" s="14" t="str">
        <x:v>2</x:v>
      </x:c>
      <x:c r="K51" s="14" t="str">
        <x:v>REVISAR_OK</x:v>
      </x:c>
      <x:c r="L51"/>
      <x:c r="M51"/>
      <x:c r="N51"/>
      <x:c r="O51"/>
      <x:c r="P51"/>
      <x:c r="Q51"/>
      <x:c r="R51"/>
      <x:c r="S51" t="str">
        <x:v>NÃO</x:v>
      </x:c>
      <x:c r="T51" t="n">
        <x:v>0</x:v>
      </x:c>
      <x:c r="U51"/>
      <x:c r="V51" t="str">
        <x:v>SIM</x:v>
      </x:c>
      <x:c r="W51" t="str">
        <x:v>JSP</x:v>
      </x:c>
      <x:c r="X51" s="12" t="str">
        <x:v>PERCENTUAL</x:v>
      </x:c>
      <x:c r="Y51" s="12" t="str">
        <x:v>CTE</x:v>
      </x:c>
      <x:c r="Z51" s="12" t="str">
        <x:v>2.6.46</x:v>
      </x:c>
      <x:c r="AA51" s="12" t="str">
        <x:v>Pedágio JSP informado como 0,00 por CT-e na fonte.</x:v>
      </x:c>
    </x:row>
    <x:row r="52">
      <x:c r="A52" s="14" t="str">
        <x:v>REG_0051</x:v>
      </x:c>
      <x:c r="B52" s="14" t="str">
        <x:v>JSP</x:v>
      </x:c>
      <x:c r="C52" s="14" t="str">
        <x:v>REGIÃO TAPAJÓS</x:v>
      </x:c>
      <x:c r="D52" s="14" t="str">
        <x:v>Castelo dos Sonhos (Distrito)</x:v>
      </x:c>
      <x:c r="E52" s="14" t="str">
        <x:v>PA</x:v>
      </x:c>
      <x:c r="F52" s="14" t="str">
        <x:v>45%</x:v>
      </x:c>
      <x:c r="G52" s="14" t="n">
        <x:v>100</x:v>
      </x:c>
      <x:c r="H52" s="14" t="str">
        <x:v>D+8</x:v>
      </x:c>
      <x:c r="I52" s="14" t="str">
        <x:v>doc20621320260704143240.pdf</x:v>
      </x:c>
      <x:c r="J52" s="14" t="str">
        <x:v>2</x:v>
      </x:c>
      <x:c r="K52" s="14" t="str">
        <x:v>REVISAR_OK</x:v>
      </x:c>
      <x:c r="L52"/>
      <x:c r="M52"/>
      <x:c r="N52"/>
      <x:c r="O52"/>
      <x:c r="P52"/>
      <x:c r="Q52"/>
      <x:c r="R52"/>
      <x:c r="S52" t="str">
        <x:v>NÃO</x:v>
      </x:c>
      <x:c r="T52" t="n">
        <x:v>0</x:v>
      </x:c>
      <x:c r="U52"/>
      <x:c r="V52" t="str">
        <x:v>SIM</x:v>
      </x:c>
      <x:c r="W52" t="str">
        <x:v>JSP</x:v>
      </x:c>
      <x:c r="X52" s="12" t="str">
        <x:v>PERCENTUAL</x:v>
      </x:c>
      <x:c r="Y52" s="12" t="str">
        <x:v>CTE</x:v>
      </x:c>
      <x:c r="Z52" s="12" t="str">
        <x:v>2.6.46</x:v>
      </x:c>
      <x:c r="AA52" s="12" t="str">
        <x:v>Pedágio JSP informado como 0,00 por CT-e na fonte.</x:v>
      </x:c>
    </x:row>
    <x:row r="53">
      <x:c r="A53" s="14" t="str">
        <x:v>REG_0052</x:v>
      </x:c>
      <x:c r="B53" s="14" t="str">
        <x:v>JSP</x:v>
      </x:c>
      <x:c r="C53" s="14" t="str">
        <x:v>REGIÃO TAPAJÓS</x:v>
      </x:c>
      <x:c r="D53" s="14" t="str">
        <x:v>Curuá</x:v>
      </x:c>
      <x:c r="E53" s="14" t="str">
        <x:v>PA</x:v>
      </x:c>
      <x:c r="F53" s="14" t="str">
        <x:v>45%</x:v>
      </x:c>
      <x:c r="G53" s="14" t="n">
        <x:v>100</x:v>
      </x:c>
      <x:c r="H53" s="14" t="str">
        <x:v>D+8</x:v>
      </x:c>
      <x:c r="I53" s="14" t="str">
        <x:v>doc20621320260704143240.pdf</x:v>
      </x:c>
      <x:c r="J53" s="14" t="str">
        <x:v>2</x:v>
      </x:c>
      <x:c r="K53" s="14" t="str">
        <x:v>REVISAR_OK</x:v>
      </x:c>
      <x:c r="L53"/>
      <x:c r="M53"/>
      <x:c r="N53"/>
      <x:c r="O53"/>
      <x:c r="P53"/>
      <x:c r="Q53"/>
      <x:c r="R53"/>
      <x:c r="S53" t="str">
        <x:v>NÃO</x:v>
      </x:c>
      <x:c r="T53" t="n">
        <x:v>0</x:v>
      </x:c>
      <x:c r="U53"/>
      <x:c r="V53" t="str">
        <x:v>SIM</x:v>
      </x:c>
      <x:c r="W53" t="str">
        <x:v>JSP</x:v>
      </x:c>
      <x:c r="X53" s="12" t="str">
        <x:v>PERCENTUAL</x:v>
      </x:c>
      <x:c r="Y53" s="12" t="str">
        <x:v>CTE</x:v>
      </x:c>
      <x:c r="Z53" s="12" t="str">
        <x:v>2.6.46</x:v>
      </x:c>
      <x:c r="AA53" s="12" t="str">
        <x:v>Pedágio JSP informado como 0,00 por CT-e na fonte.</x:v>
      </x:c>
    </x:row>
    <x:row r="54">
      <x:c r="A54" s="14" t="str">
        <x:v>REG_0053</x:v>
      </x:c>
      <x:c r="B54" s="14" t="str">
        <x:v>JSP</x:v>
      </x:c>
      <x:c r="C54" s="14" t="str">
        <x:v>REGIÃO TAPAJÓS</x:v>
      </x:c>
      <x:c r="D54" s="14" t="str">
        <x:v>Juruti</x:v>
      </x:c>
      <x:c r="E54" s="14" t="str">
        <x:v>PA</x:v>
      </x:c>
      <x:c r="F54" s="14" t="str">
        <x:v>45%</x:v>
      </x:c>
      <x:c r="G54" s="14" t="n">
        <x:v>100</x:v>
      </x:c>
      <x:c r="H54" s="14" t="str">
        <x:v>D+8</x:v>
      </x:c>
      <x:c r="I54" s="14" t="str">
        <x:v>doc20621320260704143240.pdf</x:v>
      </x:c>
      <x:c r="J54" s="14" t="str">
        <x:v>2</x:v>
      </x:c>
      <x:c r="K54" s="14" t="str">
        <x:v>REVISAR_OK</x:v>
      </x:c>
      <x:c r="L54"/>
      <x:c r="M54"/>
      <x:c r="N54"/>
      <x:c r="O54"/>
      <x:c r="P54"/>
      <x:c r="Q54"/>
      <x:c r="R54"/>
      <x:c r="S54" t="str">
        <x:v>NÃO</x:v>
      </x:c>
      <x:c r="T54" t="n">
        <x:v>0</x:v>
      </x:c>
      <x:c r="U54"/>
      <x:c r="V54" t="str">
        <x:v>SIM</x:v>
      </x:c>
      <x:c r="W54" t="str">
        <x:v>JSP</x:v>
      </x:c>
      <x:c r="X54" s="12" t="str">
        <x:v>PERCENTUAL</x:v>
      </x:c>
      <x:c r="Y54" s="12" t="str">
        <x:v>CTE</x:v>
      </x:c>
      <x:c r="Z54" s="12" t="str">
        <x:v>2.6.46</x:v>
      </x:c>
      <x:c r="AA54" s="12" t="str">
        <x:v>Pedágio JSP informado como 0,00 por CT-e na fonte.</x:v>
      </x:c>
    </x:row>
    <x:row r="55">
      <x:c r="A55" s="14" t="str">
        <x:v>REG_0054</x:v>
      </x:c>
      <x:c r="B55" s="14" t="str">
        <x:v>JSP</x:v>
      </x:c>
      <x:c r="C55" s="14" t="str">
        <x:v>REGIÃO TAPAJÓS</x:v>
      </x:c>
      <x:c r="D55" s="14" t="str">
        <x:v>Monte Alegre</x:v>
      </x:c>
      <x:c r="E55" s="14" t="str">
        <x:v>PA</x:v>
      </x:c>
      <x:c r="F55" s="14" t="str">
        <x:v>45%</x:v>
      </x:c>
      <x:c r="G55" s="14" t="n">
        <x:v>100</x:v>
      </x:c>
      <x:c r="H55" s="14" t="str">
        <x:v>D+8</x:v>
      </x:c>
      <x:c r="I55" s="14" t="str">
        <x:v>doc20621320260704143240.pdf</x:v>
      </x:c>
      <x:c r="J55" s="14" t="str">
        <x:v>2</x:v>
      </x:c>
      <x:c r="K55" s="14" t="str">
        <x:v>REVISAR_OK</x:v>
      </x:c>
      <x:c r="L55"/>
      <x:c r="M55"/>
      <x:c r="N55"/>
      <x:c r="O55"/>
      <x:c r="P55"/>
      <x:c r="Q55"/>
      <x:c r="R55"/>
      <x:c r="S55" t="str">
        <x:v>NÃO</x:v>
      </x:c>
      <x:c r="T55" t="n">
        <x:v>0</x:v>
      </x:c>
      <x:c r="U55"/>
      <x:c r="V55" t="str">
        <x:v>SIM</x:v>
      </x:c>
      <x:c r="W55" t="str">
        <x:v>JSP</x:v>
      </x:c>
      <x:c r="X55" s="12" t="str">
        <x:v>PERCENTUAL</x:v>
      </x:c>
      <x:c r="Y55" s="12" t="str">
        <x:v>CTE</x:v>
      </x:c>
      <x:c r="Z55" s="12" t="str">
        <x:v>2.6.46</x:v>
      </x:c>
      <x:c r="AA55" s="12" t="str">
        <x:v>Pedágio JSP informado como 0,00 por CT-e na fonte.</x:v>
      </x:c>
    </x:row>
    <x:row r="56">
      <x:c r="A56" s="14" t="str">
        <x:v>REG_0055</x:v>
      </x:c>
      <x:c r="B56" s="14" t="str">
        <x:v>JSP</x:v>
      </x:c>
      <x:c r="C56" s="14" t="str">
        <x:v>REGIÃO TAPAJÓS</x:v>
      </x:c>
      <x:c r="D56" s="14" t="str">
        <x:v>Óbidos</x:v>
      </x:c>
      <x:c r="E56" s="14" t="str">
        <x:v>PA</x:v>
      </x:c>
      <x:c r="F56" s="14" t="str">
        <x:v>45%</x:v>
      </x:c>
      <x:c r="G56" s="14" t="n">
        <x:v>100</x:v>
      </x:c>
      <x:c r="H56" s="14" t="str">
        <x:v>D+8</x:v>
      </x:c>
      <x:c r="I56" s="14" t="str">
        <x:v>doc20621320260704143240.pdf</x:v>
      </x:c>
      <x:c r="J56" s="14" t="str">
        <x:v>2</x:v>
      </x:c>
      <x:c r="K56" s="14" t="str">
        <x:v>REVISAR_OK</x:v>
      </x:c>
      <x:c r="L56"/>
      <x:c r="M56"/>
      <x:c r="N56"/>
      <x:c r="O56"/>
      <x:c r="P56"/>
      <x:c r="Q56"/>
      <x:c r="R56"/>
      <x:c r="S56" t="str">
        <x:v>NÃO</x:v>
      </x:c>
      <x:c r="T56" t="n">
        <x:v>0</x:v>
      </x:c>
      <x:c r="U56"/>
      <x:c r="V56" t="str">
        <x:v>SIM</x:v>
      </x:c>
      <x:c r="W56" t="str">
        <x:v>JSP</x:v>
      </x:c>
      <x:c r="X56" s="12" t="str">
        <x:v>PERCENTUAL</x:v>
      </x:c>
      <x:c r="Y56" s="12" t="str">
        <x:v>CTE</x:v>
      </x:c>
      <x:c r="Z56" s="12" t="str">
        <x:v>2.6.46</x:v>
      </x:c>
      <x:c r="AA56" s="12" t="str">
        <x:v>Pedágio JSP informado como 0,00 por CT-e na fonte.</x:v>
      </x:c>
    </x:row>
    <x:row r="57">
      <x:c r="A57" s="14" t="str">
        <x:v>REG_0056</x:v>
      </x:c>
      <x:c r="B57" s="14" t="str">
        <x:v>JSP</x:v>
      </x:c>
      <x:c r="C57" s="14" t="str">
        <x:v>REGIÃO TAPAJÓS</x:v>
      </x:c>
      <x:c r="D57" s="14" t="str">
        <x:v>Oriximiná</x:v>
      </x:c>
      <x:c r="E57" s="14" t="str">
        <x:v>PA</x:v>
      </x:c>
      <x:c r="F57" s="14" t="str">
        <x:v>45%</x:v>
      </x:c>
      <x:c r="G57" s="14" t="n">
        <x:v>100</x:v>
      </x:c>
      <x:c r="H57" s="14" t="str">
        <x:v>D+8</x:v>
      </x:c>
      <x:c r="I57" s="14" t="str">
        <x:v>doc20621320260704143240.pdf</x:v>
      </x:c>
      <x:c r="J57" s="14" t="str">
        <x:v>2</x:v>
      </x:c>
      <x:c r="K57" s="14" t="str">
        <x:v>REVISAR_OK</x:v>
      </x:c>
      <x:c r="L57"/>
      <x:c r="M57"/>
      <x:c r="N57"/>
      <x:c r="O57"/>
      <x:c r="P57"/>
      <x:c r="Q57"/>
      <x:c r="R57"/>
      <x:c r="S57" t="str">
        <x:v>NÃO</x:v>
      </x:c>
      <x:c r="T57" t="n">
        <x:v>0</x:v>
      </x:c>
      <x:c r="U57"/>
      <x:c r="V57" t="str">
        <x:v>SIM</x:v>
      </x:c>
      <x:c r="W57" t="str">
        <x:v>JSP</x:v>
      </x:c>
      <x:c r="X57" s="12" t="str">
        <x:v>PERCENTUAL</x:v>
      </x:c>
      <x:c r="Y57" s="12" t="str">
        <x:v>CTE</x:v>
      </x:c>
      <x:c r="Z57" s="12" t="str">
        <x:v>2.6.46</x:v>
      </x:c>
      <x:c r="AA57" s="12" t="str">
        <x:v>Pedágio JSP informado como 0,00 por CT-e na fonte.</x:v>
      </x:c>
    </x:row>
    <x:row r="58">
      <x:c r="A58" s="14" t="str">
        <x:v>REG_0057</x:v>
      </x:c>
      <x:c r="B58" s="14" t="str">
        <x:v>JSP</x:v>
      </x:c>
      <x:c r="C58" s="14" t="str">
        <x:v>REGIÃO TAPAJÓS</x:v>
      </x:c>
      <x:c r="D58" s="14" t="str">
        <x:v>Prainha</x:v>
      </x:c>
      <x:c r="E58" s="14" t="str">
        <x:v>PA</x:v>
      </x:c>
      <x:c r="F58" s="14" t="str">
        <x:v>45%</x:v>
      </x:c>
      <x:c r="G58" s="14" t="n">
        <x:v>100</x:v>
      </x:c>
      <x:c r="H58" s="14" t="str">
        <x:v>D+8</x:v>
      </x:c>
      <x:c r="I58" s="14" t="str">
        <x:v>doc20621320260704143240.pdf</x:v>
      </x:c>
      <x:c r="J58" s="14" t="str">
        <x:v>2</x:v>
      </x:c>
      <x:c r="K58" s="14" t="str">
        <x:v>REVISAR_OK</x:v>
      </x:c>
      <x:c r="L58"/>
      <x:c r="M58"/>
      <x:c r="N58"/>
      <x:c r="O58"/>
      <x:c r="P58"/>
      <x:c r="Q58"/>
      <x:c r="R58"/>
      <x:c r="S58" t="str">
        <x:v>NÃO</x:v>
      </x:c>
      <x:c r="T58" t="n">
        <x:v>0</x:v>
      </x:c>
      <x:c r="U58"/>
      <x:c r="V58" t="str">
        <x:v>SIM</x:v>
      </x:c>
      <x:c r="W58" t="str">
        <x:v>JSP</x:v>
      </x:c>
      <x:c r="X58" s="12" t="str">
        <x:v>PERCENTUAL</x:v>
      </x:c>
      <x:c r="Y58" s="12" t="str">
        <x:v>CTE</x:v>
      </x:c>
      <x:c r="Z58" s="12" t="str">
        <x:v>2.6.46</x:v>
      </x:c>
      <x:c r="AA58" s="12" t="str">
        <x:v>Pedágio JSP informado como 0,00 por CT-e na fonte.</x:v>
      </x:c>
    </x:row>
    <x:row r="59">
      <x:c r="A59" s="14" t="str">
        <x:v>REG_0058</x:v>
      </x:c>
      <x:c r="B59" s="14" t="str">
        <x:v>JSP</x:v>
      </x:c>
      <x:c r="C59" s="14" t="str">
        <x:v>REGIÃO TAPAJÓS</x:v>
      </x:c>
      <x:c r="D59" s="14" t="str">
        <x:v>Terra Santa</x:v>
      </x:c>
      <x:c r="E59" s="14" t="str">
        <x:v>PA</x:v>
      </x:c>
      <x:c r="F59" s="14" t="str">
        <x:v>45%</x:v>
      </x:c>
      <x:c r="G59" s="14" t="n">
        <x:v>100</x:v>
      </x:c>
      <x:c r="H59" s="14" t="str">
        <x:v>D+8</x:v>
      </x:c>
      <x:c r="I59" s="14" t="str">
        <x:v>doc20621320260704143240.pdf</x:v>
      </x:c>
      <x:c r="J59" s="14" t="str">
        <x:v>2</x:v>
      </x:c>
      <x:c r="K59" s="14" t="str">
        <x:v>REVISAR_OK</x:v>
      </x:c>
      <x:c r="L59"/>
      <x:c r="M59"/>
      <x:c r="N59"/>
      <x:c r="O59"/>
      <x:c r="P59"/>
      <x:c r="Q59"/>
      <x:c r="R59"/>
      <x:c r="S59" t="str">
        <x:v>NÃO</x:v>
      </x:c>
      <x:c r="T59" t="n">
        <x:v>0</x:v>
      </x:c>
      <x:c r="U59"/>
      <x:c r="V59" t="str">
        <x:v>SIM</x:v>
      </x:c>
      <x:c r="W59" t="str">
        <x:v>JSP</x:v>
      </x:c>
      <x:c r="X59" s="12" t="str">
        <x:v>PERCENTUAL</x:v>
      </x:c>
      <x:c r="Y59" s="12" t="str">
        <x:v>CTE</x:v>
      </x:c>
      <x:c r="Z59" s="12" t="str">
        <x:v>2.6.46</x:v>
      </x:c>
      <x:c r="AA59" s="12" t="str">
        <x:v>Pedágio JSP informado como 0,00 por CT-e na fonte.</x:v>
      </x:c>
    </x:row>
    <x:row r="60">
      <x:c r="A60" s="14" t="str">
        <x:v>REG_0059</x:v>
      </x:c>
      <x:c r="B60" s="14" t="str">
        <x:v>JSP</x:v>
      </x:c>
      <x:c r="C60" s="14" t="str">
        <x:v>REGIÃO TAPAJÓS</x:v>
      </x:c>
      <x:c r="D60" s="14" t="str">
        <x:v>Trairão</x:v>
      </x:c>
      <x:c r="E60" s="14" t="str">
        <x:v>PA</x:v>
      </x:c>
      <x:c r="F60" s="14" t="str">
        <x:v>45%</x:v>
      </x:c>
      <x:c r="G60" s="14" t="n">
        <x:v>100</x:v>
      </x:c>
      <x:c r="H60" s="14" t="str">
        <x:v>D+8</x:v>
      </x:c>
      <x:c r="I60" s="14" t="str">
        <x:v>doc20621320260704143240.pdf</x:v>
      </x:c>
      <x:c r="J60" s="14" t="str">
        <x:v>2</x:v>
      </x:c>
      <x:c r="K60" s="14" t="str">
        <x:v>REVISAR_OK</x:v>
      </x:c>
      <x:c r="L60"/>
      <x:c r="M60"/>
      <x:c r="N60"/>
      <x:c r="O60"/>
      <x:c r="P60"/>
      <x:c r="Q60"/>
      <x:c r="R60"/>
      <x:c r="S60" t="str">
        <x:v>NÃO</x:v>
      </x:c>
      <x:c r="T60" t="n">
        <x:v>0</x:v>
      </x:c>
      <x:c r="U60"/>
      <x:c r="V60" t="str">
        <x:v>SIM</x:v>
      </x:c>
      <x:c r="W60" t="str">
        <x:v>JSP</x:v>
      </x:c>
      <x:c r="X60" s="12" t="str">
        <x:v>PERCENTUAL</x:v>
      </x:c>
      <x:c r="Y60" s="12" t="str">
        <x:v>CTE</x:v>
      </x:c>
      <x:c r="Z60" s="12" t="str">
        <x:v>2.6.46</x:v>
      </x:c>
      <x:c r="AA60" s="12" t="str">
        <x:v>Pedágio JSP informado como 0,00 por CT-e na fonte.</x:v>
      </x:c>
    </x:row>
    <x:row r="61">
      <x:c r="A61" s="14" t="str">
        <x:v>REG_0060</x:v>
      </x:c>
      <x:c r="B61" s="14" t="str">
        <x:v>AMM</x:v>
      </x:c>
      <x:c r="C61" s="14" t="str">
        <x:v>Rota para Parazão D+1</x:v>
      </x:c>
      <x:c r="D61" s="14" t="str">
        <x:v>Palestina</x:v>
      </x:c>
      <x:c r="E61" s="14" t="str">
        <x:v>PA</x:v>
      </x:c>
      <x:c r="F61" s="14" t="str">
        <x:v>35%</x:v>
      </x:c>
      <x:c r="G61" s="14" t="n">
        <x:v>70</x:v>
      </x:c>
      <x:c r="H61" s="14"/>
      <x:c r="I61" s="14" t="str">
        <x:v>doc20621420260704143258.pdf</x:v>
      </x:c>
      <x:c r="J61" s="14" t="str">
        <x:v>1</x:v>
      </x:c>
      <x:c r="K61" s="14" t="str">
        <x:v>REVISAR_OK</x:v>
      </x:c>
      <x:c r="L61"/>
      <x:c r="M61"/>
      <x:c r="N61"/>
      <x:c r="O61"/>
      <x:c r="P61"/>
      <x:c r="Q61"/>
      <x:c r="R61"/>
      <x:c r="S61"/>
      <x:c r="T61"/>
      <x:c r="U61"/>
      <x:c r="V61" t="str">
        <x:v>SIM</x:v>
      </x:c>
      <x:c r="W61" t="str">
        <x:v>AMM</x:v>
      </x:c>
      <x:c r="X61" s="12" t="str">
        <x:v>PERCENTUAL</x:v>
      </x:c>
      <x:c r="Y61" s="12"/>
      <x:c r="Z61" s="12" t="str">
        <x:v>2.6.44</x:v>
      </x:c>
      <x:c r="AA61" s="12" t="str">
        <x:v>Frete base × percentual; aplicar frete mínimo quando maior. Bloco percentual ativado; controle visual passivo.</x:v>
      </x:c>
    </x:row>
    <x:row r="62">
      <x:c r="A62" s="14" t="str">
        <x:v>REG_0061</x:v>
      </x:c>
      <x:c r="B62" s="14" t="str">
        <x:v>AMM</x:v>
      </x:c>
      <x:c r="C62" s="14" t="str">
        <x:v>Rota para Parazão D+1</x:v>
      </x:c>
      <x:c r="D62" s="14" t="str">
        <x:v>Brejo Grande</x:v>
      </x:c>
      <x:c r="E62" s="14" t="str">
        <x:v>PA</x:v>
      </x:c>
      <x:c r="F62" s="14" t="str">
        <x:v>35%</x:v>
      </x:c>
      <x:c r="G62" s="14" t="n">
        <x:v>70</x:v>
      </x:c>
      <x:c r="H62" s="14"/>
      <x:c r="I62" s="14" t="str">
        <x:v>doc20621420260704143258.pdf</x:v>
      </x:c>
      <x:c r="J62" s="14" t="str">
        <x:v>1</x:v>
      </x:c>
      <x:c r="K62" s="14" t="str">
        <x:v>REVISAR_OK</x:v>
      </x:c>
      <x:c r="L62"/>
      <x:c r="M62"/>
      <x:c r="N62"/>
      <x:c r="O62"/>
      <x:c r="P62"/>
      <x:c r="Q62"/>
      <x:c r="R62"/>
      <x:c r="S62"/>
      <x:c r="T62"/>
      <x:c r="U62"/>
      <x:c r="V62" t="str">
        <x:v>SIM</x:v>
      </x:c>
      <x:c r="W62" t="str">
        <x:v>AMM</x:v>
      </x:c>
      <x:c r="X62" s="12" t="str">
        <x:v>PERCENTUAL</x:v>
      </x:c>
      <x:c r="Y62" s="12"/>
      <x:c r="Z62" s="12" t="str">
        <x:v>2.6.44</x:v>
      </x:c>
      <x:c r="AA62" s="12" t="str">
        <x:v>Frete base × percentual; aplicar frete mínimo quando maior. Bloco percentual ativado; controle visual passivo.</x:v>
      </x:c>
    </x:row>
    <x:row r="63">
      <x:c r="A63" s="14" t="str">
        <x:v>REG_0062</x:v>
      </x:c>
      <x:c r="B63" s="14" t="str">
        <x:v>AMM</x:v>
      </x:c>
      <x:c r="C63" s="14" t="str">
        <x:v>Rota para Parazão D+1</x:v>
      </x:c>
      <x:c r="D63" s="14" t="str">
        <x:v>São Domingos</x:v>
      </x:c>
      <x:c r="E63" s="14" t="str">
        <x:v>PA</x:v>
      </x:c>
      <x:c r="F63" s="14" t="str">
        <x:v>35%</x:v>
      </x:c>
      <x:c r="G63" s="14" t="n">
        <x:v>70</x:v>
      </x:c>
      <x:c r="H63" s="14"/>
      <x:c r="I63" s="14" t="str">
        <x:v>doc20621420260704143258.pdf</x:v>
      </x:c>
      <x:c r="J63" s="14" t="str">
        <x:v>1</x:v>
      </x:c>
      <x:c r="K63" s="14" t="str">
        <x:v>REVISAR_OK</x:v>
      </x:c>
      <x:c r="L63"/>
      <x:c r="M63"/>
      <x:c r="N63"/>
      <x:c r="O63"/>
      <x:c r="P63"/>
      <x:c r="Q63"/>
      <x:c r="R63"/>
      <x:c r="S63"/>
      <x:c r="T63"/>
      <x:c r="U63"/>
      <x:c r="V63" t="str">
        <x:v>SIM</x:v>
      </x:c>
      <x:c r="W63" t="str">
        <x:v>AMM</x:v>
      </x:c>
      <x:c r="X63" s="12" t="str">
        <x:v>PERCENTUAL</x:v>
      </x:c>
      <x:c r="Y63" s="12"/>
      <x:c r="Z63" s="12" t="str">
        <x:v>2.6.44</x:v>
      </x:c>
      <x:c r="AA63" s="12" t="str">
        <x:v>Frete base × percentual; aplicar frete mínimo quando maior. Bloco percentual ativado; controle visual passivo.</x:v>
      </x:c>
    </x:row>
    <x:row r="64">
      <x:c r="A64" s="14" t="str">
        <x:v>REG_0063</x:v>
      </x:c>
      <x:c r="B64" s="14" t="str">
        <x:v>AMM</x:v>
      </x:c>
      <x:c r="C64" s="14" t="str">
        <x:v>Rota para Parazão D+1</x:v>
      </x:c>
      <x:c r="D64" s="14" t="str">
        <x:v>São Geraldo</x:v>
      </x:c>
      <x:c r="E64" s="14" t="str">
        <x:v>PA</x:v>
      </x:c>
      <x:c r="F64" s="14" t="str">
        <x:v>35%</x:v>
      </x:c>
      <x:c r="G64" s="14" t="n">
        <x:v>70</x:v>
      </x:c>
      <x:c r="H64" s="14"/>
      <x:c r="I64" s="14" t="str">
        <x:v>doc20621420260704143258.pdf</x:v>
      </x:c>
      <x:c r="J64" s="14" t="str">
        <x:v>1</x:v>
      </x:c>
      <x:c r="K64" s="14" t="str">
        <x:v>REVISAR_OK</x:v>
      </x:c>
      <x:c r="L64"/>
      <x:c r="M64"/>
      <x:c r="N64"/>
      <x:c r="O64"/>
      <x:c r="P64"/>
      <x:c r="Q64"/>
      <x:c r="R64"/>
      <x:c r="S64"/>
      <x:c r="T64"/>
      <x:c r="U64"/>
      <x:c r="V64" t="str">
        <x:v>SIM</x:v>
      </x:c>
      <x:c r="W64" t="str">
        <x:v>AMM</x:v>
      </x:c>
      <x:c r="X64" s="12" t="str">
        <x:v>PERCENTUAL</x:v>
      </x:c>
      <x:c r="Y64" s="12"/>
      <x:c r="Z64" s="12" t="str">
        <x:v>2.6.44</x:v>
      </x:c>
      <x:c r="AA64" s="12" t="str">
        <x:v>Frete base × percentual; aplicar frete mínimo quando maior. Bloco percentual ativado; controle visual passivo.</x:v>
      </x:c>
    </x:row>
    <x:row r="65">
      <x:c r="A65" s="14" t="str">
        <x:v>REG_0064</x:v>
      </x:c>
      <x:c r="B65" s="14" t="str">
        <x:v>AMM</x:v>
      </x:c>
      <x:c r="C65" s="14" t="str">
        <x:v>Rota para Parazão D+1</x:v>
      </x:c>
      <x:c r="D65" s="14" t="str">
        <x:v>Piçarra</x:v>
      </x:c>
      <x:c r="E65" s="14" t="str">
        <x:v>PA</x:v>
      </x:c>
      <x:c r="F65" s="14" t="str">
        <x:v>35%</x:v>
      </x:c>
      <x:c r="G65" s="14" t="n">
        <x:v>70</x:v>
      </x:c>
      <x:c r="H65" s="14"/>
      <x:c r="I65" s="14" t="str">
        <x:v>doc20621420260704143258.pdf</x:v>
      </x:c>
      <x:c r="J65" s="14" t="str">
        <x:v>1</x:v>
      </x:c>
      <x:c r="K65" s="14" t="str">
        <x:v>REVISAR_OK</x:v>
      </x:c>
      <x:c r="L65"/>
      <x:c r="M65"/>
      <x:c r="N65"/>
      <x:c r="O65"/>
      <x:c r="P65"/>
      <x:c r="Q65"/>
      <x:c r="R65"/>
      <x:c r="S65"/>
      <x:c r="T65"/>
      <x:c r="U65"/>
      <x:c r="V65" t="str">
        <x:v>SIM</x:v>
      </x:c>
      <x:c r="W65" t="str">
        <x:v>AMM</x:v>
      </x:c>
      <x:c r="X65" s="12" t="str">
        <x:v>PERCENTUAL</x:v>
      </x:c>
      <x:c r="Y65" s="12"/>
      <x:c r="Z65" s="12" t="str">
        <x:v>2.6.44</x:v>
      </x:c>
      <x:c r="AA65" s="12" t="str">
        <x:v>Frete base × percentual; aplicar frete mínimo quando maior. Bloco percentual ativado; controle visual passivo.</x:v>
      </x:c>
    </x:row>
    <x:row r="66">
      <x:c r="A66" s="14" t="str">
        <x:v>REG_0065</x:v>
      </x:c>
      <x:c r="B66" s="14" t="str">
        <x:v>AMM</x:v>
      </x:c>
      <x:c r="C66" s="14" t="str">
        <x:v>Rota para Parazão D+1</x:v>
      </x:c>
      <x:c r="D66" s="14" t="str">
        <x:v>São João do Araguaia</x:v>
      </x:c>
      <x:c r="E66" s="14" t="str">
        <x:v>PA</x:v>
      </x:c>
      <x:c r="F66" s="14" t="str">
        <x:v>35%</x:v>
      </x:c>
      <x:c r="G66" s="14" t="n">
        <x:v>70</x:v>
      </x:c>
      <x:c r="H66" s="14"/>
      <x:c r="I66" s="14" t="str">
        <x:v>doc20621420260704143258.pdf</x:v>
      </x:c>
      <x:c r="J66" s="14" t="str">
        <x:v>1</x:v>
      </x:c>
      <x:c r="K66" s="14" t="str">
        <x:v>REVISAR_OK</x:v>
      </x:c>
      <x:c r="L66"/>
      <x:c r="M66"/>
      <x:c r="N66"/>
      <x:c r="O66"/>
      <x:c r="P66"/>
      <x:c r="Q66"/>
      <x:c r="R66"/>
      <x:c r="S66"/>
      <x:c r="T66"/>
      <x:c r="U66"/>
      <x:c r="V66" t="str">
        <x:v>SIM</x:v>
      </x:c>
      <x:c r="W66" t="str">
        <x:v>AMM</x:v>
      </x:c>
      <x:c r="X66" s="12" t="str">
        <x:v>PERCENTUAL</x:v>
      </x:c>
      <x:c r="Y66" s="12"/>
      <x:c r="Z66" s="12" t="str">
        <x:v>2.6.44</x:v>
      </x:c>
      <x:c r="AA66" s="12" t="str">
        <x:v>Frete base × percentual; aplicar frete mínimo quando maior. Bloco percentual ativado; controle visual passivo.</x:v>
      </x:c>
    </x:row>
    <x:row r="67">
      <x:c r="A67" s="14" t="str">
        <x:v>REG_0066</x:v>
      </x:c>
      <x:c r="B67" s="14" t="str">
        <x:v>AMM</x:v>
      </x:c>
      <x:c r="C67" s="14" t="str">
        <x:v>Rota para Parazão D+1</x:v>
      </x:c>
      <x:c r="D67" s="14" t="str">
        <x:v>Vila Sororó</x:v>
      </x:c>
      <x:c r="E67" s="14" t="str">
        <x:v>PA</x:v>
      </x:c>
      <x:c r="F67" s="14" t="str">
        <x:v>35%</x:v>
      </x:c>
      <x:c r="G67" s="14" t="n">
        <x:v>70</x:v>
      </x:c>
      <x:c r="H67" s="14"/>
      <x:c r="I67" s="14" t="str">
        <x:v>doc20621420260704143258.pdf</x:v>
      </x:c>
      <x:c r="J67" s="14" t="str">
        <x:v>1</x:v>
      </x:c>
      <x:c r="K67" s="14" t="str">
        <x:v>REVISAR_OK</x:v>
      </x:c>
      <x:c r="L67"/>
      <x:c r="M67"/>
      <x:c r="N67"/>
      <x:c r="O67"/>
      <x:c r="P67"/>
      <x:c r="Q67"/>
      <x:c r="R67"/>
      <x:c r="S67"/>
      <x:c r="T67"/>
      <x:c r="U67"/>
      <x:c r="V67" t="str">
        <x:v>SIM</x:v>
      </x:c>
      <x:c r="W67" t="str">
        <x:v>AMM</x:v>
      </x:c>
      <x:c r="X67" s="12" t="str">
        <x:v>PERCENTUAL</x:v>
      </x:c>
      <x:c r="Y67" s="12"/>
      <x:c r="Z67" s="12" t="str">
        <x:v>2.6.44</x:v>
      </x:c>
      <x:c r="AA67" s="12" t="str">
        <x:v>Frete base × percentual; aplicar frete mínimo quando maior. Bloco percentual ativado; controle visual passivo.</x:v>
      </x:c>
    </x:row>
    <x:row r="68">
      <x:c r="A68" s="14" t="str">
        <x:v>REG_0067</x:v>
      </x:c>
      <x:c r="B68" s="14" t="str">
        <x:v>AMM</x:v>
      </x:c>
      <x:c r="C68" s="14" t="str">
        <x:v>Rota para Parazão D+1</x:v>
      </x:c>
      <x:c r="D68" s="14" t="str">
        <x:v>Eldorado</x:v>
      </x:c>
      <x:c r="E68" s="14" t="str">
        <x:v>PA</x:v>
      </x:c>
      <x:c r="F68" s="14" t="str">
        <x:v>35%</x:v>
      </x:c>
      <x:c r="G68" s="14" t="n">
        <x:v>70</x:v>
      </x:c>
      <x:c r="H68" s="14"/>
      <x:c r="I68" s="14" t="str">
        <x:v>doc20621420260704143258.pdf</x:v>
      </x:c>
      <x:c r="J68" s="14" t="str">
        <x:v>1</x:v>
      </x:c>
      <x:c r="K68" s="14" t="str">
        <x:v>REVISAR_OK</x:v>
      </x:c>
      <x:c r="L68"/>
      <x:c r="M68"/>
      <x:c r="N68"/>
      <x:c r="O68"/>
      <x:c r="P68"/>
      <x:c r="Q68"/>
      <x:c r="R68"/>
      <x:c r="S68"/>
      <x:c r="T68"/>
      <x:c r="U68"/>
      <x:c r="V68" t="str">
        <x:v>SIM</x:v>
      </x:c>
      <x:c r="W68" t="str">
        <x:v>AMM</x:v>
      </x:c>
      <x:c r="X68" s="12" t="str">
        <x:v>PERCENTUAL</x:v>
      </x:c>
      <x:c r="Y68" s="12"/>
      <x:c r="Z68" s="12" t="str">
        <x:v>2.6.44</x:v>
      </x:c>
      <x:c r="AA68" s="12" t="str">
        <x:v>Frete base × percentual; aplicar frete mínimo quando maior. Bloco percentual ativado; controle visual passivo.</x:v>
      </x:c>
    </x:row>
    <x:row r="69">
      <x:c r="A69" s="14" t="str">
        <x:v>REG_0068</x:v>
      </x:c>
      <x:c r="B69" s="14" t="str">
        <x:v>AMM</x:v>
      </x:c>
      <x:c r="C69" s="14" t="str">
        <x:v>Rota para Parazão D+1</x:v>
      </x:c>
      <x:c r="D69" s="14" t="str">
        <x:v>Curionópolis</x:v>
      </x:c>
      <x:c r="E69" s="14" t="str">
        <x:v>PA</x:v>
      </x:c>
      <x:c r="F69" s="14" t="str">
        <x:v>35%</x:v>
      </x:c>
      <x:c r="G69" s="14" t="n">
        <x:v>70</x:v>
      </x:c>
      <x:c r="H69" s="14"/>
      <x:c r="I69" s="14" t="str">
        <x:v>doc20621420260704143258.pdf</x:v>
      </x:c>
      <x:c r="J69" s="14" t="str">
        <x:v>1</x:v>
      </x:c>
      <x:c r="K69" s="14" t="str">
        <x:v>REVISAR_OK</x:v>
      </x:c>
      <x:c r="L69"/>
      <x:c r="M69"/>
      <x:c r="N69"/>
      <x:c r="O69"/>
      <x:c r="P69"/>
      <x:c r="Q69"/>
      <x:c r="R69"/>
      <x:c r="S69"/>
      <x:c r="T69"/>
      <x:c r="U69"/>
      <x:c r="V69" t="str">
        <x:v>SIM</x:v>
      </x:c>
      <x:c r="W69" t="str">
        <x:v>AMM</x:v>
      </x:c>
      <x:c r="X69" s="12" t="str">
        <x:v>PERCENTUAL</x:v>
      </x:c>
      <x:c r="Y69" s="12"/>
      <x:c r="Z69" s="12" t="str">
        <x:v>2.6.44</x:v>
      </x:c>
      <x:c r="AA69" s="12" t="str">
        <x:v>Frete base × percentual; aplicar frete mínimo quando maior. Bloco percentual ativado; controle visual passivo.</x:v>
      </x:c>
    </x:row>
    <x:row r="70">
      <x:c r="A70" s="14" t="str">
        <x:v>REG_0069</x:v>
      </x:c>
      <x:c r="B70" s="14" t="str">
        <x:v>AMM</x:v>
      </x:c>
      <x:c r="C70" s="14" t="str">
        <x:v>Rota para Parazão D+1</x:v>
      </x:c>
      <x:c r="D70" s="14" t="str">
        <x:v>Parauapebas</x:v>
      </x:c>
      <x:c r="E70" s="14" t="str">
        <x:v>PA</x:v>
      </x:c>
      <x:c r="F70" s="14" t="str">
        <x:v>35%</x:v>
      </x:c>
      <x:c r="G70" s="14" t="n">
        <x:v>70</x:v>
      </x:c>
      <x:c r="H70" s="14"/>
      <x:c r="I70" s="14" t="str">
        <x:v>doc20621420260704143258.pdf</x:v>
      </x:c>
      <x:c r="J70" s="14" t="str">
        <x:v>1</x:v>
      </x:c>
      <x:c r="K70" s="14" t="str">
        <x:v>REVISAR_OK</x:v>
      </x:c>
      <x:c r="L70"/>
      <x:c r="M70"/>
      <x:c r="N70"/>
      <x:c r="O70"/>
      <x:c r="P70"/>
      <x:c r="Q70"/>
      <x:c r="R70"/>
      <x:c r="S70"/>
      <x:c r="T70"/>
      <x:c r="U70"/>
      <x:c r="V70" t="str">
        <x:v>SIM</x:v>
      </x:c>
      <x:c r="W70" t="str">
        <x:v>AMM</x:v>
      </x:c>
      <x:c r="X70" s="12" t="str">
        <x:v>PERCENTUAL</x:v>
      </x:c>
      <x:c r="Y70" s="12"/>
      <x:c r="Z70" s="12" t="str">
        <x:v>2.6.44</x:v>
      </x:c>
      <x:c r="AA70" s="12" t="str">
        <x:v>Frete base × percentual; aplicar frete mínimo quando maior. Bloco percentual ativado; controle visual passivo.</x:v>
      </x:c>
    </x:row>
    <x:row r="71">
      <x:c r="A71" s="14" t="str">
        <x:v>REG_0070</x:v>
      </x:c>
      <x:c r="B71" s="14" t="str">
        <x:v>AMM</x:v>
      </x:c>
      <x:c r="C71" s="14" t="str">
        <x:v>Rota para Parazão D+1</x:v>
      </x:c>
      <x:c r="D71" s="14" t="str">
        <x:v>Canaã dos Carajás</x:v>
      </x:c>
      <x:c r="E71" s="14" t="str">
        <x:v>PA</x:v>
      </x:c>
      <x:c r="F71" s="14" t="str">
        <x:v>35%</x:v>
      </x:c>
      <x:c r="G71" s="14" t="n">
        <x:v>70</x:v>
      </x:c>
      <x:c r="H71" s="14"/>
      <x:c r="I71" s="14" t="str">
        <x:v>doc20621420260704143258.pdf</x:v>
      </x:c>
      <x:c r="J71" s="14" t="str">
        <x:v>1</x:v>
      </x:c>
      <x:c r="K71" s="14" t="str">
        <x:v>REVISAR_OK</x:v>
      </x:c>
      <x:c r="L71"/>
      <x:c r="M71"/>
      <x:c r="N71"/>
      <x:c r="O71"/>
      <x:c r="P71"/>
      <x:c r="Q71"/>
      <x:c r="R71"/>
      <x:c r="S71"/>
      <x:c r="T71"/>
      <x:c r="U71"/>
      <x:c r="V71" t="str">
        <x:v>SIM</x:v>
      </x:c>
      <x:c r="W71" t="str">
        <x:v>AMM</x:v>
      </x:c>
      <x:c r="X71" s="12" t="str">
        <x:v>PERCENTUAL</x:v>
      </x:c>
      <x:c r="Y71" s="12"/>
      <x:c r="Z71" s="12" t="str">
        <x:v>2.6.44</x:v>
      </x:c>
      <x:c r="AA71" s="12" t="str">
        <x:v>Frete base × percentual; aplicar frete mínimo quando maior. Bloco percentual ativado; controle visual passivo.</x:v>
      </x:c>
    </x:row>
    <x:row r="72">
      <x:c r="A72" s="14" t="str">
        <x:v>REG_0071</x:v>
      </x:c>
      <x:c r="B72" s="14" t="str">
        <x:v>LN</x:v>
      </x:c>
      <x:c r="C72" s="14" t="str">
        <x:v>MAB</x:v>
      </x:c>
      <x:c r="D72" s="14" t="str">
        <x:v>Abel Figueiredo</x:v>
      </x:c>
      <x:c r="E72" s="14" t="str">
        <x:v>PA</x:v>
      </x:c>
      <x:c r="F72" s="14" t="str">
        <x:v>27%</x:v>
      </x:c>
      <x:c r="G72" s="14" t="n">
        <x:v>65</x:v>
      </x:c>
      <x:c r="H72" s="14" t="str">
        <x:v>D+4/D+5</x:v>
      </x:c>
      <x:c r="I72" s="14" t="str">
        <x:v>doc20620720260704143045.pdf</x:v>
      </x:c>
      <x:c r="J72" s="14" t="str">
        <x:v>1</x:v>
      </x:c>
      <x:c r="K72" s="14" t="str">
        <x:v>REVISAR_OK</x:v>
      </x:c>
      <x:c r="L72"/>
      <x:c r="M72"/>
      <x:c r="N72"/>
      <x:c r="O72"/>
      <x:c r="P72"/>
      <x:c r="Q72"/>
      <x:c r="R72"/>
      <x:c r="S72"/>
      <x:c r="T72"/>
      <x:c r="U72"/>
      <x:c r="V72" t="str">
        <x:v>SIM</x:v>
      </x:c>
      <x:c r="W72" t="str">
        <x:v>L&amp;N</x:v>
      </x:c>
      <x:c r="X72" s="12" t="str">
        <x:v>PERCENTUAL</x:v>
      </x:c>
      <x:c r="Y72" s="12"/>
      <x:c r="Z72" s="12" t="str">
        <x:v>2.6.44</x:v>
      </x:c>
      <x:c r="AA72" s="12" t="str">
        <x:v>Frete base × percentual; aplicar frete mínimo quando maior. Bloco percentual ativado; controle visual passivo.</x:v>
      </x:c>
    </x:row>
    <x:row r="73">
      <x:c r="A73" s="14" t="str">
        <x:v>REG_0072</x:v>
      </x:c>
      <x:c r="B73" s="14" t="str">
        <x:v>LN</x:v>
      </x:c>
      <x:c r="C73" s="14" t="str">
        <x:v>MAB</x:v>
      </x:c>
      <x:c r="D73" s="14" t="str">
        <x:v>Bom Jesus do Tocantins</x:v>
      </x:c>
      <x:c r="E73" s="14" t="str">
        <x:v>PA</x:v>
      </x:c>
      <x:c r="F73" s="14" t="str">
        <x:v>27%</x:v>
      </x:c>
      <x:c r="G73" s="14" t="n">
        <x:v>65</x:v>
      </x:c>
      <x:c r="H73" s="14" t="str">
        <x:v>D+4/D+5</x:v>
      </x:c>
      <x:c r="I73" s="14" t="str">
        <x:v>doc20620720260704143045.pdf</x:v>
      </x:c>
      <x:c r="J73" s="14" t="str">
        <x:v>1</x:v>
      </x:c>
      <x:c r="K73" s="14" t="str">
        <x:v>REVISAR_OK</x:v>
      </x:c>
      <x:c r="L73"/>
      <x:c r="M73"/>
      <x:c r="N73"/>
      <x:c r="O73"/>
      <x:c r="P73"/>
      <x:c r="Q73"/>
      <x:c r="R73"/>
      <x:c r="S73"/>
      <x:c r="T73"/>
      <x:c r="U73"/>
      <x:c r="V73" t="str">
        <x:v>SIM</x:v>
      </x:c>
      <x:c r="W73" t="str">
        <x:v>L&amp;N</x:v>
      </x:c>
      <x:c r="X73" s="12" t="str">
        <x:v>PERCENTUAL</x:v>
      </x:c>
      <x:c r="Y73" s="12"/>
      <x:c r="Z73" s="12" t="str">
        <x:v>2.6.44</x:v>
      </x:c>
      <x:c r="AA73" s="12" t="str">
        <x:v>Frete base × percentual; aplicar frete mínimo quando maior. Bloco percentual ativado; controle visual passivo.</x:v>
      </x:c>
    </x:row>
    <x:row r="74">
      <x:c r="A74" s="14" t="str">
        <x:v>REG_0073</x:v>
      </x:c>
      <x:c r="B74" s="14" t="str">
        <x:v>LN</x:v>
      </x:c>
      <x:c r="C74" s="14" t="str">
        <x:v>MAB</x:v>
      </x:c>
      <x:c r="D74" s="14" t="str">
        <x:v>Brejo Grande do Araguaia</x:v>
      </x:c>
      <x:c r="E74" s="14" t="str">
        <x:v>PA</x:v>
      </x:c>
      <x:c r="F74" s="14" t="str">
        <x:v>27%</x:v>
      </x:c>
      <x:c r="G74" s="14" t="n">
        <x:v>65</x:v>
      </x:c>
      <x:c r="H74" s="14" t="str">
        <x:v>D+4/D+5</x:v>
      </x:c>
      <x:c r="I74" s="14" t="str">
        <x:v>doc20620720260704143045.pdf</x:v>
      </x:c>
      <x:c r="J74" s="14" t="str">
        <x:v>1</x:v>
      </x:c>
      <x:c r="K74" s="14" t="str">
        <x:v>REVISAR_OK</x:v>
      </x:c>
      <x:c r="L74"/>
      <x:c r="M74"/>
      <x:c r="N74"/>
      <x:c r="O74"/>
      <x:c r="P74"/>
      <x:c r="Q74"/>
      <x:c r="R74"/>
      <x:c r="S74"/>
      <x:c r="T74"/>
      <x:c r="U74"/>
      <x:c r="V74" t="str">
        <x:v>SIM</x:v>
      </x:c>
      <x:c r="W74" t="str">
        <x:v>L&amp;N</x:v>
      </x:c>
      <x:c r="X74" s="12" t="str">
        <x:v>PERCENTUAL</x:v>
      </x:c>
      <x:c r="Y74" s="12"/>
      <x:c r="Z74" s="12" t="str">
        <x:v>2.6.44</x:v>
      </x:c>
      <x:c r="AA74" s="12" t="str">
        <x:v>Frete base × percentual; aplicar frete mínimo quando maior. Bloco percentual ativado; controle visual passivo.</x:v>
      </x:c>
    </x:row>
    <x:row r="75">
      <x:c r="A75" s="14" t="str">
        <x:v>REG_0074</x:v>
      </x:c>
      <x:c r="B75" s="14" t="str">
        <x:v>LN</x:v>
      </x:c>
      <x:c r="C75" s="14" t="str">
        <x:v>MAB</x:v>
      </x:c>
      <x:c r="D75" s="14" t="str">
        <x:v>Breu Branco</x:v>
      </x:c>
      <x:c r="E75" s="14" t="str">
        <x:v>PA</x:v>
      </x:c>
      <x:c r="F75" s="14" t="str">
        <x:v>27%</x:v>
      </x:c>
      <x:c r="G75" s="14" t="n">
        <x:v>65</x:v>
      </x:c>
      <x:c r="H75" s="14" t="str">
        <x:v>D+4/D+5</x:v>
      </x:c>
      <x:c r="I75" s="14" t="str">
        <x:v>doc20620720260704143045.pdf</x:v>
      </x:c>
      <x:c r="J75" s="14" t="str">
        <x:v>1</x:v>
      </x:c>
      <x:c r="K75" s="14" t="str">
        <x:v>REVISAR_OK</x:v>
      </x:c>
      <x:c r="L75"/>
      <x:c r="M75"/>
      <x:c r="N75"/>
      <x:c r="O75"/>
      <x:c r="P75"/>
      <x:c r="Q75"/>
      <x:c r="R75"/>
      <x:c r="S75"/>
      <x:c r="T75"/>
      <x:c r="U75"/>
      <x:c r="V75" t="str">
        <x:v>SIM</x:v>
      </x:c>
      <x:c r="W75" t="str">
        <x:v>L&amp;N</x:v>
      </x:c>
      <x:c r="X75" s="12" t="str">
        <x:v>PERCENTUAL</x:v>
      </x:c>
      <x:c r="Y75" s="12"/>
      <x:c r="Z75" s="12" t="str">
        <x:v>2.6.44</x:v>
      </x:c>
      <x:c r="AA75" s="12" t="str">
        <x:v>Frete base × percentual; aplicar frete mínimo quando maior. Bloco percentual ativado; controle visual passivo.</x:v>
      </x:c>
    </x:row>
    <x:row r="76">
      <x:c r="A76" s="14" t="str">
        <x:v>REG_0075</x:v>
      </x:c>
      <x:c r="B76" s="14" t="str">
        <x:v>LN</x:v>
      </x:c>
      <x:c r="C76" s="14" t="str">
        <x:v>MAB</x:v>
      </x:c>
      <x:c r="D76" s="14" t="str">
        <x:v>Canaã dos Carajás</x:v>
      </x:c>
      <x:c r="E76" s="14" t="str">
        <x:v>PA</x:v>
      </x:c>
      <x:c r="F76" s="14" t="str">
        <x:v>27%</x:v>
      </x:c>
      <x:c r="G76" s="14" t="n">
        <x:v>65</x:v>
      </x:c>
      <x:c r="H76" s="14" t="str">
        <x:v>D+4/D+5</x:v>
      </x:c>
      <x:c r="I76" s="14" t="str">
        <x:v>doc20620720260704143045.pdf</x:v>
      </x:c>
      <x:c r="J76" s="14" t="str">
        <x:v>1</x:v>
      </x:c>
      <x:c r="K76" s="14" t="str">
        <x:v>REVISAR_OK</x:v>
      </x:c>
      <x:c r="L76"/>
      <x:c r="M76"/>
      <x:c r="N76"/>
      <x:c r="O76"/>
      <x:c r="P76"/>
      <x:c r="Q76"/>
      <x:c r="R76"/>
      <x:c r="S76"/>
      <x:c r="T76"/>
      <x:c r="U76"/>
      <x:c r="V76" t="str">
        <x:v>SIM</x:v>
      </x:c>
      <x:c r="W76" t="str">
        <x:v>L&amp;N</x:v>
      </x:c>
      <x:c r="X76" s="12" t="str">
        <x:v>PERCENTUAL</x:v>
      </x:c>
      <x:c r="Y76" s="12"/>
      <x:c r="Z76" s="12" t="str">
        <x:v>2.6.44</x:v>
      </x:c>
      <x:c r="AA76" s="12" t="str">
        <x:v>Frete base × percentual; aplicar frete mínimo quando maior. Bloco percentual ativado; controle visual passivo.</x:v>
      </x:c>
    </x:row>
    <x:row r="77">
      <x:c r="A77" s="14" t="str">
        <x:v>REG_0076</x:v>
      </x:c>
      <x:c r="B77" s="14" t="str">
        <x:v>LN</x:v>
      </x:c>
      <x:c r="C77" s="14" t="str">
        <x:v>MAB</x:v>
      </x:c>
      <x:c r="D77" s="14" t="str">
        <x:v>Capatães</x:v>
      </x:c>
      <x:c r="E77" s="14" t="str">
        <x:v>PA</x:v>
      </x:c>
      <x:c r="F77" s="14" t="str">
        <x:v>25%</x:v>
      </x:c>
      <x:c r="G77" s="14" t="n">
        <x:v>65</x:v>
      </x:c>
      <x:c r="H77" s="14" t="str">
        <x:v>D+4/D+5</x:v>
      </x:c>
      <x:c r="I77" s="14" t="str">
        <x:v>doc20620720260704143045.pdf</x:v>
      </x:c>
      <x:c r="J77" s="14" t="str">
        <x:v>1</x:v>
      </x:c>
      <x:c r="K77" s="14" t="str">
        <x:v>REVISAR_OK</x:v>
      </x:c>
      <x:c r="L77"/>
      <x:c r="M77"/>
      <x:c r="N77"/>
      <x:c r="O77"/>
      <x:c r="P77"/>
      <x:c r="Q77"/>
      <x:c r="R77"/>
      <x:c r="S77"/>
      <x:c r="T77"/>
      <x:c r="U77"/>
      <x:c r="V77" t="str">
        <x:v>SIM</x:v>
      </x:c>
      <x:c r="W77" t="str">
        <x:v>L&amp;N</x:v>
      </x:c>
      <x:c r="X77" s="12" t="str">
        <x:v>PERCENTUAL</x:v>
      </x:c>
      <x:c r="Y77" s="12"/>
      <x:c r="Z77" s="12" t="str">
        <x:v>2.6.44</x:v>
      </x:c>
      <x:c r="AA77" s="12" t="str">
        <x:v>Frete base × percentual; aplicar frete mínimo quando maior. Bloco percentual ativado; controle visual passivo.</x:v>
      </x:c>
    </x:row>
    <x:row r="78">
      <x:c r="A78" s="14" t="str">
        <x:v>REG_0077</x:v>
      </x:c>
      <x:c r="B78" s="14" t="str">
        <x:v>LN</x:v>
      </x:c>
      <x:c r="C78" s="14" t="str">
        <x:v>MAB</x:v>
      </x:c>
      <x:c r="D78" s="14" t="str">
        <x:v>Curionópolis</x:v>
      </x:c>
      <x:c r="E78" s="14" t="str">
        <x:v>PA</x:v>
      </x:c>
      <x:c r="F78" s="14" t="str">
        <x:v>27%</x:v>
      </x:c>
      <x:c r="G78" s="14" t="n">
        <x:v>65</x:v>
      </x:c>
      <x:c r="H78" s="14" t="str">
        <x:v>D+4/D+5</x:v>
      </x:c>
      <x:c r="I78" s="14" t="str">
        <x:v>doc20620720260704143045.pdf</x:v>
      </x:c>
      <x:c r="J78" s="14" t="str">
        <x:v>1</x:v>
      </x:c>
      <x:c r="K78" s="14" t="str">
        <x:v>REVISAR_OK</x:v>
      </x:c>
      <x:c r="L78"/>
      <x:c r="M78"/>
      <x:c r="N78"/>
      <x:c r="O78"/>
      <x:c r="P78"/>
      <x:c r="Q78"/>
      <x:c r="R78"/>
      <x:c r="S78"/>
      <x:c r="T78"/>
      <x:c r="U78"/>
      <x:c r="V78" t="str">
        <x:v>SIM</x:v>
      </x:c>
      <x:c r="W78" t="str">
        <x:v>L&amp;N</x:v>
      </x:c>
      <x:c r="X78" s="12" t="str">
        <x:v>PERCENTUAL</x:v>
      </x:c>
      <x:c r="Y78" s="12"/>
      <x:c r="Z78" s="12" t="str">
        <x:v>2.6.44</x:v>
      </x:c>
      <x:c r="AA78" s="12" t="str">
        <x:v>Frete base × percentual; aplicar frete mínimo quando maior. Bloco percentual ativado; controle visual passivo.</x:v>
      </x:c>
    </x:row>
    <x:row r="79">
      <x:c r="A79" s="14" t="str">
        <x:v>REG_0078</x:v>
      </x:c>
      <x:c r="B79" s="14" t="str">
        <x:v>LN</x:v>
      </x:c>
      <x:c r="C79" s="14" t="str">
        <x:v>MAB</x:v>
      </x:c>
      <x:c r="D79" s="14" t="str">
        <x:v>Dom Eliseu</x:v>
      </x:c>
      <x:c r="E79" s="14" t="str">
        <x:v>PA</x:v>
      </x:c>
      <x:c r="F79" s="14" t="str">
        <x:v>27%</x:v>
      </x:c>
      <x:c r="G79" s="14" t="n">
        <x:v>65</x:v>
      </x:c>
      <x:c r="H79" s="14" t="str">
        <x:v>D+4/D+5</x:v>
      </x:c>
      <x:c r="I79" s="14" t="str">
        <x:v>doc20620720260704143045.pdf</x:v>
      </x:c>
      <x:c r="J79" s="14" t="str">
        <x:v>1</x:v>
      </x:c>
      <x:c r="K79" s="14" t="str">
        <x:v>REVISAR_OK</x:v>
      </x:c>
      <x:c r="L79"/>
      <x:c r="M79"/>
      <x:c r="N79"/>
      <x:c r="O79"/>
      <x:c r="P79"/>
      <x:c r="Q79"/>
      <x:c r="R79"/>
      <x:c r="S79"/>
      <x:c r="T79"/>
      <x:c r="U79"/>
      <x:c r="V79" t="str">
        <x:v>SIM</x:v>
      </x:c>
      <x:c r="W79" t="str">
        <x:v>L&amp;N</x:v>
      </x:c>
      <x:c r="X79" s="12" t="str">
        <x:v>PERCENTUAL</x:v>
      </x:c>
      <x:c r="Y79" s="12"/>
      <x:c r="Z79" s="12" t="str">
        <x:v>2.6.44</x:v>
      </x:c>
      <x:c r="AA79" s="12" t="str">
        <x:v>Frete base × percentual; aplicar frete mínimo quando maior. Bloco percentual ativado; controle visual passivo.</x:v>
      </x:c>
    </x:row>
    <x:row r="80">
      <x:c r="A80" s="14" t="str">
        <x:v>REG_0079</x:v>
      </x:c>
      <x:c r="B80" s="14" t="str">
        <x:v>LN</x:v>
      </x:c>
      <x:c r="C80" s="14" t="str">
        <x:v>MAB</x:v>
      </x:c>
      <x:c r="D80" s="14" t="str">
        <x:v>Eldorado dos Carajás</x:v>
      </x:c>
      <x:c r="E80" s="14" t="str">
        <x:v>PA</x:v>
      </x:c>
      <x:c r="F80" s="14" t="str">
        <x:v>25%</x:v>
      </x:c>
      <x:c r="G80" s="14" t="n">
        <x:v>65</x:v>
      </x:c>
      <x:c r="H80" s="14" t="str">
        <x:v>D+4/D+5</x:v>
      </x:c>
      <x:c r="I80" s="14" t="str">
        <x:v>doc20620720260704143045.pdf</x:v>
      </x:c>
      <x:c r="J80" s="14" t="str">
        <x:v>1</x:v>
      </x:c>
      <x:c r="K80" s="14" t="str">
        <x:v>REVISAR_OK</x:v>
      </x:c>
      <x:c r="L80"/>
      <x:c r="M80"/>
      <x:c r="N80"/>
      <x:c r="O80"/>
      <x:c r="P80"/>
      <x:c r="Q80"/>
      <x:c r="R80"/>
      <x:c r="S80"/>
      <x:c r="T80"/>
      <x:c r="U80"/>
      <x:c r="V80" t="str">
        <x:v>SIM</x:v>
      </x:c>
      <x:c r="W80" t="str">
        <x:v>L&amp;N</x:v>
      </x:c>
      <x:c r="X80" s="12" t="str">
        <x:v>PERCENTUAL</x:v>
      </x:c>
      <x:c r="Y80" s="12"/>
      <x:c r="Z80" s="12" t="str">
        <x:v>2.6.44</x:v>
      </x:c>
      <x:c r="AA80" s="12" t="str">
        <x:v>Frete base × percentual; aplicar frete mínimo quando maior. Bloco percentual ativado; controle visual passivo.</x:v>
      </x:c>
    </x:row>
    <x:row r="81">
      <x:c r="A81" s="14" t="str">
        <x:v>REG_0080</x:v>
      </x:c>
      <x:c r="B81" s="14" t="str">
        <x:v>LN</x:v>
      </x:c>
      <x:c r="C81" s="14" t="str">
        <x:v>MAB</x:v>
      </x:c>
      <x:c r="D81" s="14" t="str">
        <x:v>Goianésia do Pará</x:v>
      </x:c>
      <x:c r="E81" s="14" t="str">
        <x:v>PA</x:v>
      </x:c>
      <x:c r="F81" s="14" t="str">
        <x:v>27%</x:v>
      </x:c>
      <x:c r="G81" s="14" t="n">
        <x:v>65</x:v>
      </x:c>
      <x:c r="H81" s="14" t="str">
        <x:v>D+4/D+5</x:v>
      </x:c>
      <x:c r="I81" s="14" t="str">
        <x:v>doc20620720260704143045.pdf</x:v>
      </x:c>
      <x:c r="J81" s="14" t="str">
        <x:v>1</x:v>
      </x:c>
      <x:c r="K81" s="14" t="str">
        <x:v>REVISAR_OK</x:v>
      </x:c>
      <x:c r="L81"/>
      <x:c r="M81"/>
      <x:c r="N81"/>
      <x:c r="O81"/>
      <x:c r="P81"/>
      <x:c r="Q81"/>
      <x:c r="R81"/>
      <x:c r="S81"/>
      <x:c r="T81"/>
      <x:c r="U81"/>
      <x:c r="V81" t="str">
        <x:v>SIM</x:v>
      </x:c>
      <x:c r="W81" t="str">
        <x:v>L&amp;N</x:v>
      </x:c>
      <x:c r="X81" s="12" t="str">
        <x:v>PERCENTUAL</x:v>
      </x:c>
      <x:c r="Y81" s="12"/>
      <x:c r="Z81" s="12" t="str">
        <x:v>2.6.44</x:v>
      </x:c>
      <x:c r="AA81" s="12" t="str">
        <x:v>Frete base × percentual; aplicar frete mínimo quando maior. Bloco percentual ativado; controle visual passivo.</x:v>
      </x:c>
    </x:row>
    <x:row r="82">
      <x:c r="A82" s="14" t="str">
        <x:v>REG_0081</x:v>
      </x:c>
      <x:c r="B82" s="14" t="str">
        <x:v>LN</x:v>
      </x:c>
      <x:c r="C82" s="14" t="str">
        <x:v>MAB</x:v>
      </x:c>
      <x:c r="D82" s="14" t="str">
        <x:v>Hidrelétrica Tucuruí</x:v>
      </x:c>
      <x:c r="E82" s="14" t="str">
        <x:v>PA</x:v>
      </x:c>
      <x:c r="F82" s="14" t="str">
        <x:v>27%</x:v>
      </x:c>
      <x:c r="G82" s="14" t="n">
        <x:v>65</x:v>
      </x:c>
      <x:c r="H82" s="14" t="str">
        <x:v>D+4/D+5</x:v>
      </x:c>
      <x:c r="I82" s="14" t="str">
        <x:v>doc20620720260704143045.pdf</x:v>
      </x:c>
      <x:c r="J82" s="14" t="str">
        <x:v>1</x:v>
      </x:c>
      <x:c r="K82" s="14" t="str">
        <x:v>REVISAR_OK</x:v>
      </x:c>
      <x:c r="L82"/>
      <x:c r="M82"/>
      <x:c r="N82"/>
      <x:c r="O82"/>
      <x:c r="P82"/>
      <x:c r="Q82"/>
      <x:c r="R82"/>
      <x:c r="S82"/>
      <x:c r="T82"/>
      <x:c r="U82"/>
      <x:c r="V82" t="str">
        <x:v>SIM</x:v>
      </x:c>
      <x:c r="W82" t="str">
        <x:v>L&amp;N</x:v>
      </x:c>
      <x:c r="X82" s="12" t="str">
        <x:v>PERCENTUAL</x:v>
      </x:c>
      <x:c r="Y82" s="12"/>
      <x:c r="Z82" s="12" t="str">
        <x:v>2.6.44</x:v>
      </x:c>
      <x:c r="AA82" s="12" t="str">
        <x:v>Frete base × percentual; aplicar frete mínimo quando maior. Bloco percentual ativado; controle visual passivo.</x:v>
      </x:c>
    </x:row>
    <x:row r="83">
      <x:c r="A83" s="14" t="str">
        <x:v>REG_0082</x:v>
      </x:c>
      <x:c r="B83" s="14" t="str">
        <x:v>LN</x:v>
      </x:c>
      <x:c r="C83" s="14" t="str">
        <x:v>MAB</x:v>
      </x:c>
      <x:c r="D83" s="14" t="str">
        <x:v>Itupiranga</x:v>
      </x:c>
      <x:c r="E83" s="14" t="str">
        <x:v>PA</x:v>
      </x:c>
      <x:c r="F83" s="14" t="str">
        <x:v>27%</x:v>
      </x:c>
      <x:c r="G83" s="14" t="n">
        <x:v>65</x:v>
      </x:c>
      <x:c r="H83" s="14" t="str">
        <x:v>D+4/D+5</x:v>
      </x:c>
      <x:c r="I83" s="14" t="str">
        <x:v>doc20620720260704143045.pdf</x:v>
      </x:c>
      <x:c r="J83" s="14" t="str">
        <x:v>1</x:v>
      </x:c>
      <x:c r="K83" s="14" t="str">
        <x:v>REVISAR_OK</x:v>
      </x:c>
      <x:c r="L83"/>
      <x:c r="M83"/>
      <x:c r="N83"/>
      <x:c r="O83"/>
      <x:c r="P83"/>
      <x:c r="Q83"/>
      <x:c r="R83"/>
      <x:c r="S83"/>
      <x:c r="T83"/>
      <x:c r="U83"/>
      <x:c r="V83" t="str">
        <x:v>SIM</x:v>
      </x:c>
      <x:c r="W83" t="str">
        <x:v>L&amp;N</x:v>
      </x:c>
      <x:c r="X83" s="12" t="str">
        <x:v>PERCENTUAL</x:v>
      </x:c>
      <x:c r="Y83" s="12"/>
      <x:c r="Z83" s="12" t="str">
        <x:v>2.6.44</x:v>
      </x:c>
      <x:c r="AA83" s="12" t="str">
        <x:v>Frete base × percentual; aplicar frete mínimo quando maior. Bloco percentual ativado; controle visual passivo.</x:v>
      </x:c>
    </x:row>
    <x:row r="84">
      <x:c r="A84" s="14" t="str">
        <x:v>REG_0083</x:v>
      </x:c>
      <x:c r="B84" s="14" t="str">
        <x:v>LN</x:v>
      </x:c>
      <x:c r="C84" s="14" t="str">
        <x:v>MAB</x:v>
      </x:c>
      <x:c r="D84" s="14" t="str">
        <x:v>Jacundá</x:v>
      </x:c>
      <x:c r="E84" s="14" t="str">
        <x:v>PA</x:v>
      </x:c>
      <x:c r="F84" s="14" t="str">
        <x:v>27%</x:v>
      </x:c>
      <x:c r="G84" s="14" t="n">
        <x:v>65</x:v>
      </x:c>
      <x:c r="H84" s="14" t="str">
        <x:v>D+4/D+5</x:v>
      </x:c>
      <x:c r="I84" s="14" t="str">
        <x:v>doc20620720260704143045.pdf</x:v>
      </x:c>
      <x:c r="J84" s="14" t="str">
        <x:v>1</x:v>
      </x:c>
      <x:c r="K84" s="14" t="str">
        <x:v>REVISAR_OK</x:v>
      </x:c>
      <x:c r="L84"/>
      <x:c r="M84"/>
      <x:c r="N84"/>
      <x:c r="O84"/>
      <x:c r="P84"/>
      <x:c r="Q84"/>
      <x:c r="R84"/>
      <x:c r="S84"/>
      <x:c r="T84"/>
      <x:c r="U84"/>
      <x:c r="V84" t="str">
        <x:v>SIM</x:v>
      </x:c>
      <x:c r="W84" t="str">
        <x:v>L&amp;N</x:v>
      </x:c>
      <x:c r="X84" s="12" t="str">
        <x:v>PERCENTUAL</x:v>
      </x:c>
      <x:c r="Y84" s="12"/>
      <x:c r="Z84" s="12" t="str">
        <x:v>2.6.44</x:v>
      </x:c>
      <x:c r="AA84" s="12" t="str">
        <x:v>Frete base × percentual; aplicar frete mínimo quando maior. Bloco percentual ativado; controle visual passivo.</x:v>
      </x:c>
    </x:row>
    <x:row r="85">
      <x:c r="A85" s="14" t="str">
        <x:v>REG_0084</x:v>
      </x:c>
      <x:c r="B85" s="14" t="str">
        <x:v>LN</x:v>
      </x:c>
      <x:c r="C85" s="14" t="str">
        <x:v>MAB</x:v>
      </x:c>
      <x:c r="D85" s="14" t="str">
        <x:v>Marabá</x:v>
      </x:c>
      <x:c r="E85" s="14" t="str">
        <x:v>PA</x:v>
      </x:c>
      <x:c r="F85" s="14" t="str">
        <x:v>25%</x:v>
      </x:c>
      <x:c r="G85" s="14" t="n">
        <x:v>65</x:v>
      </x:c>
      <x:c r="H85" s="14" t="str">
        <x:v>D+4/D+5</x:v>
      </x:c>
      <x:c r="I85" s="14" t="str">
        <x:v>doc20620720260704143045.pdf</x:v>
      </x:c>
      <x:c r="J85" s="14" t="str">
        <x:v>1</x:v>
      </x:c>
      <x:c r="K85" s="14" t="str">
        <x:v>REVISAR_OK</x:v>
      </x:c>
      <x:c r="L85"/>
      <x:c r="M85"/>
      <x:c r="N85"/>
      <x:c r="O85"/>
      <x:c r="P85"/>
      <x:c r="Q85"/>
      <x:c r="R85"/>
      <x:c r="S85"/>
      <x:c r="T85"/>
      <x:c r="U85"/>
      <x:c r="V85" t="str">
        <x:v>SIM</x:v>
      </x:c>
      <x:c r="W85" t="str">
        <x:v>L&amp;N</x:v>
      </x:c>
      <x:c r="X85" s="12" t="str">
        <x:v>PERCENTUAL</x:v>
      </x:c>
      <x:c r="Y85" s="12"/>
      <x:c r="Z85" s="12" t="str">
        <x:v>2.6.44</x:v>
      </x:c>
      <x:c r="AA85" s="12" t="str">
        <x:v>Frete base × percentual; aplicar frete mínimo quando maior. Bloco percentual ativado; controle visual passivo.</x:v>
      </x:c>
    </x:row>
    <x:row r="86">
      <x:c r="A86" s="14" t="str">
        <x:v>REG_0085</x:v>
      </x:c>
      <x:c r="B86" s="14" t="str">
        <x:v>LN</x:v>
      </x:c>
      <x:c r="C86" s="14" t="str">
        <x:v>MAB</x:v>
      </x:c>
      <x:c r="D86" s="14" t="str">
        <x:v>Nova Ipixuna</x:v>
      </x:c>
      <x:c r="E86" s="14" t="str">
        <x:v>PA</x:v>
      </x:c>
      <x:c r="F86" s="14" t="str">
        <x:v>27%</x:v>
      </x:c>
      <x:c r="G86" s="14" t="n">
        <x:v>65</x:v>
      </x:c>
      <x:c r="H86" s="14" t="str">
        <x:v>D+4/D+5</x:v>
      </x:c>
      <x:c r="I86" s="14" t="str">
        <x:v>doc20620720260704143045.pdf</x:v>
      </x:c>
      <x:c r="J86" s="14" t="str">
        <x:v>1</x:v>
      </x:c>
      <x:c r="K86" s="14" t="str">
        <x:v>REVISAR_OK</x:v>
      </x:c>
      <x:c r="L86"/>
      <x:c r="M86"/>
      <x:c r="N86"/>
      <x:c r="O86"/>
      <x:c r="P86"/>
      <x:c r="Q86"/>
      <x:c r="R86"/>
      <x:c r="S86"/>
      <x:c r="T86"/>
      <x:c r="U86"/>
      <x:c r="V86" t="str">
        <x:v>SIM</x:v>
      </x:c>
      <x:c r="W86" t="str">
        <x:v>L&amp;N</x:v>
      </x:c>
      <x:c r="X86" s="12" t="str">
        <x:v>PERCENTUAL</x:v>
      </x:c>
      <x:c r="Y86" s="12"/>
      <x:c r="Z86" s="12" t="str">
        <x:v>2.6.44</x:v>
      </x:c>
      <x:c r="AA86" s="12" t="str">
        <x:v>Frete base × percentual; aplicar frete mínimo quando maior. Bloco percentual ativado; controle visual passivo.</x:v>
      </x:c>
    </x:row>
    <x:row r="87">
      <x:c r="A87" s="14" t="str">
        <x:v>REG_0086</x:v>
      </x:c>
      <x:c r="B87" s="14" t="str">
        <x:v>LN</x:v>
      </x:c>
      <x:c r="C87" s="14" t="str">
        <x:v>MAB</x:v>
      </x:c>
      <x:c r="D87" s="14" t="str">
        <x:v>Palestina do Pará</x:v>
      </x:c>
      <x:c r="E87" s="14" t="str">
        <x:v>PA</x:v>
      </x:c>
      <x:c r="F87" s="14" t="str">
        <x:v>27%</x:v>
      </x:c>
      <x:c r="G87" s="14" t="n">
        <x:v>65</x:v>
      </x:c>
      <x:c r="H87" s="14" t="str">
        <x:v>D+4/D+5</x:v>
      </x:c>
      <x:c r="I87" s="14" t="str">
        <x:v>doc20620720260704143045.pdf</x:v>
      </x:c>
      <x:c r="J87" s="14" t="str">
        <x:v>1</x:v>
      </x:c>
      <x:c r="K87" s="14" t="str">
        <x:v>REVISAR_OK</x:v>
      </x:c>
      <x:c r="L87"/>
      <x:c r="M87"/>
      <x:c r="N87"/>
      <x:c r="O87"/>
      <x:c r="P87"/>
      <x:c r="Q87"/>
      <x:c r="R87"/>
      <x:c r="S87"/>
      <x:c r="T87"/>
      <x:c r="U87"/>
      <x:c r="V87" t="str">
        <x:v>SIM</x:v>
      </x:c>
      <x:c r="W87" t="str">
        <x:v>L&amp;N</x:v>
      </x:c>
      <x:c r="X87" s="12" t="str">
        <x:v>PERCENTUAL</x:v>
      </x:c>
      <x:c r="Y87" s="12"/>
      <x:c r="Z87" s="12" t="str">
        <x:v>2.6.44</x:v>
      </x:c>
      <x:c r="AA87" s="12" t="str">
        <x:v>Frete base × percentual; aplicar frete mínimo quando maior. Bloco percentual ativado; controle visual passivo.</x:v>
      </x:c>
    </x:row>
    <x:row r="88">
      <x:c r="A88" s="14" t="str">
        <x:v>REG_0087</x:v>
      </x:c>
      <x:c r="B88" s="14" t="str">
        <x:v>LN</x:v>
      </x:c>
      <x:c r="C88" s="14" t="str">
        <x:v>MAB</x:v>
      </x:c>
      <x:c r="D88" s="14" t="str">
        <x:v>Parauapebas</x:v>
      </x:c>
      <x:c r="E88" s="14" t="str">
        <x:v>PA</x:v>
      </x:c>
      <x:c r="F88" s="14" t="str">
        <x:v>27%</x:v>
      </x:c>
      <x:c r="G88" s="14" t="n">
        <x:v>65</x:v>
      </x:c>
      <x:c r="H88" s="14" t="str">
        <x:v>D+4/D+5</x:v>
      </x:c>
      <x:c r="I88" s="14" t="str">
        <x:v>doc20620720260704143045.pdf</x:v>
      </x:c>
      <x:c r="J88" s="14" t="str">
        <x:v>1</x:v>
      </x:c>
      <x:c r="K88" s="14" t="str">
        <x:v>REVISAR_OK</x:v>
      </x:c>
      <x:c r="L88"/>
      <x:c r="M88"/>
      <x:c r="N88"/>
      <x:c r="O88"/>
      <x:c r="P88"/>
      <x:c r="Q88"/>
      <x:c r="R88"/>
      <x:c r="S88"/>
      <x:c r="T88"/>
      <x:c r="U88"/>
      <x:c r="V88" t="str">
        <x:v>SIM</x:v>
      </x:c>
      <x:c r="W88" t="str">
        <x:v>L&amp;N</x:v>
      </x:c>
      <x:c r="X88" s="12" t="str">
        <x:v>PERCENTUAL</x:v>
      </x:c>
      <x:c r="Y88" s="12"/>
      <x:c r="Z88" s="12" t="str">
        <x:v>2.6.44</x:v>
      </x:c>
      <x:c r="AA88" s="12" t="str">
        <x:v>Frete base × percentual; aplicar frete mínimo quando maior. Bloco percentual ativado; controle visual passivo.</x:v>
      </x:c>
    </x:row>
    <x:row r="89">
      <x:c r="A89" s="14" t="str">
        <x:v>REG_0088</x:v>
      </x:c>
      <x:c r="B89" s="14" t="str">
        <x:v>LN</x:v>
      </x:c>
      <x:c r="C89" s="14" t="str">
        <x:v>MAB</x:v>
      </x:c>
      <x:c r="D89" s="14" t="str">
        <x:v>Piçarra</x:v>
      </x:c>
      <x:c r="E89" s="14" t="str">
        <x:v>PA</x:v>
      </x:c>
      <x:c r="F89" s="14" t="str">
        <x:v>27%</x:v>
      </x:c>
      <x:c r="G89" s="14" t="n">
        <x:v>65</x:v>
      </x:c>
      <x:c r="H89" s="14" t="str">
        <x:v>D+4/D+5</x:v>
      </x:c>
      <x:c r="I89" s="14" t="str">
        <x:v>doc20620720260704143045.pdf</x:v>
      </x:c>
      <x:c r="J89" s="14" t="str">
        <x:v>1</x:v>
      </x:c>
      <x:c r="K89" s="14" t="str">
        <x:v>REVISAR_OK</x:v>
      </x:c>
      <x:c r="L89"/>
      <x:c r="M89"/>
      <x:c r="N89"/>
      <x:c r="O89"/>
      <x:c r="P89"/>
      <x:c r="Q89"/>
      <x:c r="R89"/>
      <x:c r="S89"/>
      <x:c r="T89"/>
      <x:c r="U89"/>
      <x:c r="V89" t="str">
        <x:v>SIM</x:v>
      </x:c>
      <x:c r="W89" t="str">
        <x:v>L&amp;N</x:v>
      </x:c>
      <x:c r="X89" s="12" t="str">
        <x:v>PERCENTUAL</x:v>
      </x:c>
      <x:c r="Y89" s="12"/>
      <x:c r="Z89" s="12" t="str">
        <x:v>2.6.44</x:v>
      </x:c>
      <x:c r="AA89" s="12" t="str">
        <x:v>Frete base × percentual; aplicar frete mínimo quando maior. Bloco percentual ativado; controle visual passivo.</x:v>
      </x:c>
    </x:row>
    <x:row r="90">
      <x:c r="A90" s="14" t="str">
        <x:v>REG_0089</x:v>
      </x:c>
      <x:c r="B90" s="14" t="str">
        <x:v>LN</x:v>
      </x:c>
      <x:c r="C90" s="14" t="str">
        <x:v>MAB</x:v>
      </x:c>
      <x:c r="D90" s="14" t="str">
        <x:v>Rondon do Pará</x:v>
      </x:c>
      <x:c r="E90" s="14" t="str">
        <x:v>PA</x:v>
      </x:c>
      <x:c r="F90" s="14" t="str">
        <x:v>27%</x:v>
      </x:c>
      <x:c r="G90" s="14" t="n">
        <x:v>65</x:v>
      </x:c>
      <x:c r="H90" s="14" t="str">
        <x:v>D+4/D+5</x:v>
      </x:c>
      <x:c r="I90" s="14" t="str">
        <x:v>doc20620720260704143045.pdf</x:v>
      </x:c>
      <x:c r="J90" s="14" t="str">
        <x:v>1</x:v>
      </x:c>
      <x:c r="K90" s="14" t="str">
        <x:v>REVISAR_OK</x:v>
      </x:c>
      <x:c r="L90"/>
      <x:c r="M90"/>
      <x:c r="N90"/>
      <x:c r="O90"/>
      <x:c r="P90"/>
      <x:c r="Q90"/>
      <x:c r="R90"/>
      <x:c r="S90"/>
      <x:c r="T90"/>
      <x:c r="U90"/>
      <x:c r="V90" t="str">
        <x:v>SIM</x:v>
      </x:c>
      <x:c r="W90" t="str">
        <x:v>L&amp;N</x:v>
      </x:c>
      <x:c r="X90" s="12" t="str">
        <x:v>PERCENTUAL</x:v>
      </x:c>
      <x:c r="Y90" s="12"/>
      <x:c r="Z90" s="12" t="str">
        <x:v>2.6.44</x:v>
      </x:c>
      <x:c r="AA90" s="12" t="str">
        <x:v>Frete base × percentual; aplicar frete mínimo quando maior. Bloco percentual ativado; controle visual passivo.</x:v>
      </x:c>
    </x:row>
    <x:row r="91">
      <x:c r="A91" s="14" t="str">
        <x:v>REG_0090</x:v>
      </x:c>
      <x:c r="B91" s="14" t="str">
        <x:v>LN</x:v>
      </x:c>
      <x:c r="C91" s="14" t="str">
        <x:v>MAB</x:v>
      </x:c>
      <x:c r="D91" s="14" t="str">
        <x:v>São Domingos do Araguaia</x:v>
      </x:c>
      <x:c r="E91" s="14" t="str">
        <x:v>PA</x:v>
      </x:c>
      <x:c r="F91" s="14" t="str">
        <x:v>27%</x:v>
      </x:c>
      <x:c r="G91" s="14" t="n">
        <x:v>65</x:v>
      </x:c>
      <x:c r="H91" s="14" t="str">
        <x:v>D+4/D+5</x:v>
      </x:c>
      <x:c r="I91" s="14" t="str">
        <x:v>doc20620720260704143045.pdf</x:v>
      </x:c>
      <x:c r="J91" s="14" t="str">
        <x:v>1</x:v>
      </x:c>
      <x:c r="K91" s="14" t="str">
        <x:v>REVISAR_OK</x:v>
      </x:c>
      <x:c r="L91"/>
      <x:c r="M91"/>
      <x:c r="N91"/>
      <x:c r="O91"/>
      <x:c r="P91"/>
      <x:c r="Q91"/>
      <x:c r="R91"/>
      <x:c r="S91"/>
      <x:c r="T91"/>
      <x:c r="U91"/>
      <x:c r="V91" t="str">
        <x:v>SIM</x:v>
      </x:c>
      <x:c r="W91" t="str">
        <x:v>L&amp;N</x:v>
      </x:c>
      <x:c r="X91" s="12" t="str">
        <x:v>PERCENTUAL</x:v>
      </x:c>
      <x:c r="Y91" s="12"/>
      <x:c r="Z91" s="12" t="str">
        <x:v>2.6.44</x:v>
      </x:c>
      <x:c r="AA91" s="12" t="str">
        <x:v>Frete base × percentual; aplicar frete mínimo quando maior. Bloco percentual ativado; controle visual passivo.</x:v>
      </x:c>
    </x:row>
    <x:row r="92">
      <x:c r="A92" s="14" t="str">
        <x:v>REG_0091</x:v>
      </x:c>
      <x:c r="B92" s="14" t="str">
        <x:v>LN</x:v>
      </x:c>
      <x:c r="C92" s="14" t="str">
        <x:v>MAB</x:v>
      </x:c>
      <x:c r="D92" s="14" t="str">
        <x:v>São Geraldo do Araguaia</x:v>
      </x:c>
      <x:c r="E92" s="14" t="str">
        <x:v>PA</x:v>
      </x:c>
      <x:c r="F92" s="14" t="str">
        <x:v>27%</x:v>
      </x:c>
      <x:c r="G92" s="14" t="n">
        <x:v>65</x:v>
      </x:c>
      <x:c r="H92" s="14" t="str">
        <x:v>D+4/D+5</x:v>
      </x:c>
      <x:c r="I92" s="14" t="str">
        <x:v>doc20620720260704143045.pdf</x:v>
      </x:c>
      <x:c r="J92" s="14" t="str">
        <x:v>1</x:v>
      </x:c>
      <x:c r="K92" s="14" t="str">
        <x:v>REVISAR_OK</x:v>
      </x:c>
      <x:c r="L92"/>
      <x:c r="M92"/>
      <x:c r="N92"/>
      <x:c r="O92"/>
      <x:c r="P92"/>
      <x:c r="Q92"/>
      <x:c r="R92"/>
      <x:c r="S92"/>
      <x:c r="T92"/>
      <x:c r="U92"/>
      <x:c r="V92" t="str">
        <x:v>SIM</x:v>
      </x:c>
      <x:c r="W92" t="str">
        <x:v>L&amp;N</x:v>
      </x:c>
      <x:c r="X92" s="12" t="str">
        <x:v>PERCENTUAL</x:v>
      </x:c>
      <x:c r="Y92" s="12"/>
      <x:c r="Z92" s="12" t="str">
        <x:v>2.6.44</x:v>
      </x:c>
      <x:c r="AA92" s="12" t="str">
        <x:v>Frete base × percentual; aplicar frete mínimo quando maior. Bloco percentual ativado; controle visual passivo.</x:v>
      </x:c>
    </x:row>
    <x:row r="93">
      <x:c r="A93" s="14" t="str">
        <x:v>REG_0092</x:v>
      </x:c>
      <x:c r="B93" s="14" t="str">
        <x:v>LN</x:v>
      </x:c>
      <x:c r="C93" s="14" t="str">
        <x:v>MAB</x:v>
      </x:c>
      <x:c r="D93" s="14" t="str">
        <x:v>São João do Araguaia</x:v>
      </x:c>
      <x:c r="E93" s="14" t="str">
        <x:v>PA</x:v>
      </x:c>
      <x:c r="F93" s="14" t="str">
        <x:v>27%</x:v>
      </x:c>
      <x:c r="G93" s="14" t="n">
        <x:v>65</x:v>
      </x:c>
      <x:c r="H93" s="14" t="str">
        <x:v>D+4/D+5</x:v>
      </x:c>
      <x:c r="I93" s="14" t="str">
        <x:v>doc20620720260704143045.pdf</x:v>
      </x:c>
      <x:c r="J93" s="14" t="str">
        <x:v>1</x:v>
      </x:c>
      <x:c r="K93" s="14" t="str">
        <x:v>REVISAR_OK</x:v>
      </x:c>
      <x:c r="L93"/>
      <x:c r="M93"/>
      <x:c r="N93"/>
      <x:c r="O93"/>
      <x:c r="P93"/>
      <x:c r="Q93"/>
      <x:c r="R93"/>
      <x:c r="S93"/>
      <x:c r="T93"/>
      <x:c r="U93"/>
      <x:c r="V93" t="str">
        <x:v>SIM</x:v>
      </x:c>
      <x:c r="W93" t="str">
        <x:v>L&amp;N</x:v>
      </x:c>
      <x:c r="X93" s="12" t="str">
        <x:v>PERCENTUAL</x:v>
      </x:c>
      <x:c r="Y93" s="12"/>
      <x:c r="Z93" s="12" t="str">
        <x:v>2.6.44</x:v>
      </x:c>
      <x:c r="AA93" s="12" t="str">
        <x:v>Frete base × percentual; aplicar frete mínimo quando maior. Bloco percentual ativado; controle visual passivo.</x:v>
      </x:c>
    </x:row>
    <x:row r="94">
      <x:c r="A94" s="14" t="str">
        <x:v>REG_0093</x:v>
      </x:c>
      <x:c r="B94" s="14" t="str">
        <x:v>LN</x:v>
      </x:c>
      <x:c r="C94" s="14" t="str">
        <x:v>MAB</x:v>
      </x:c>
      <x:c r="D94" s="14" t="str">
        <x:v>Tailândia</x:v>
      </x:c>
      <x:c r="E94" s="14" t="str">
        <x:v>PA</x:v>
      </x:c>
      <x:c r="F94" s="14" t="str">
        <x:v>27%</x:v>
      </x:c>
      <x:c r="G94" s="14" t="n">
        <x:v>65</x:v>
      </x:c>
      <x:c r="H94" s="14" t="str">
        <x:v>D+4/D+5</x:v>
      </x:c>
      <x:c r="I94" s="14" t="str">
        <x:v>doc20620720260704143045.pdf</x:v>
      </x:c>
      <x:c r="J94" s="14" t="str">
        <x:v>1</x:v>
      </x:c>
      <x:c r="K94" s="14" t="str">
        <x:v>REVISAR_OK</x:v>
      </x:c>
      <x:c r="L94"/>
      <x:c r="M94"/>
      <x:c r="N94"/>
      <x:c r="O94"/>
      <x:c r="P94"/>
      <x:c r="Q94"/>
      <x:c r="R94"/>
      <x:c r="S94"/>
      <x:c r="T94"/>
      <x:c r="U94"/>
      <x:c r="V94" t="str">
        <x:v>SIM</x:v>
      </x:c>
      <x:c r="W94" t="str">
        <x:v>L&amp;N</x:v>
      </x:c>
      <x:c r="X94" s="12" t="str">
        <x:v>PERCENTUAL</x:v>
      </x:c>
      <x:c r="Y94" s="12"/>
      <x:c r="Z94" s="12" t="str">
        <x:v>2.6.44</x:v>
      </x:c>
      <x:c r="AA94" s="12" t="str">
        <x:v>Frete base × percentual; aplicar frete mínimo quando maior. Bloco percentual ativado; controle visual passivo.</x:v>
      </x:c>
    </x:row>
    <x:row r="95">
      <x:c r="A95" s="14" t="str">
        <x:v>REG_0094</x:v>
      </x:c>
      <x:c r="B95" s="14" t="str">
        <x:v>LN</x:v>
      </x:c>
      <x:c r="C95" s="14" t="str">
        <x:v>MAB</x:v>
      </x:c>
      <x:c r="D95" s="14" t="str">
        <x:v>Tucuruí</x:v>
      </x:c>
      <x:c r="E95" s="14" t="str">
        <x:v>PA</x:v>
      </x:c>
      <x:c r="F95" s="14" t="str">
        <x:v>27%</x:v>
      </x:c>
      <x:c r="G95" s="14" t="n">
        <x:v>65</x:v>
      </x:c>
      <x:c r="H95" s="14" t="str">
        <x:v>D+4/D+5</x:v>
      </x:c>
      <x:c r="I95" s="14" t="str">
        <x:v>doc20620720260704143045.pdf</x:v>
      </x:c>
      <x:c r="J95" s="14" t="str">
        <x:v>1</x:v>
      </x:c>
      <x:c r="K95" s="14" t="str">
        <x:v>REVISAR_OK</x:v>
      </x:c>
      <x:c r="L95"/>
      <x:c r="M95"/>
      <x:c r="N95"/>
      <x:c r="O95"/>
      <x:c r="P95"/>
      <x:c r="Q95"/>
      <x:c r="R95"/>
      <x:c r="S95"/>
      <x:c r="T95"/>
      <x:c r="U95"/>
      <x:c r="V95" t="str">
        <x:v>SIM</x:v>
      </x:c>
      <x:c r="W95" t="str">
        <x:v>L&amp;N</x:v>
      </x:c>
      <x:c r="X95" s="12" t="str">
        <x:v>PERCENTUAL</x:v>
      </x:c>
      <x:c r="Y95" s="12"/>
      <x:c r="Z95" s="12" t="str">
        <x:v>2.6.44</x:v>
      </x:c>
      <x:c r="AA95" s="12" t="str">
        <x:v>Frete base × percentual; aplicar frete mínimo quando maior. Bloco percentual ativado; controle visual passivo.</x:v>
      </x:c>
    </x:row>
    <x:row r="96">
      <x:c r="A96" s="14" t="str">
        <x:v>REG_0095</x:v>
      </x:c>
      <x:c r="B96" s="14" t="str">
        <x:v>LN</x:v>
      </x:c>
      <x:c r="C96" s="14" t="str">
        <x:v>MAB</x:v>
      </x:c>
      <x:c r="D96" s="14" t="str">
        <x:v>Ulianópolis</x:v>
      </x:c>
      <x:c r="E96" s="14" t="str">
        <x:v>PA</x:v>
      </x:c>
      <x:c r="F96" s="14" t="str">
        <x:v>27%</x:v>
      </x:c>
      <x:c r="G96" s="14" t="n">
        <x:v>65</x:v>
      </x:c>
      <x:c r="H96" s="14" t="str">
        <x:v>D+4/D+5</x:v>
      </x:c>
      <x:c r="I96" s="14" t="str">
        <x:v>doc20620720260704143045.pdf</x:v>
      </x:c>
      <x:c r="J96" s="14" t="str">
        <x:v>1</x:v>
      </x:c>
      <x:c r="K96" s="14" t="str">
        <x:v>REVISAR_OK</x:v>
      </x:c>
      <x:c r="L96"/>
      <x:c r="M96"/>
      <x:c r="N96"/>
      <x:c r="O96"/>
      <x:c r="P96"/>
      <x:c r="Q96"/>
      <x:c r="R96"/>
      <x:c r="S96"/>
      <x:c r="T96"/>
      <x:c r="U96"/>
      <x:c r="V96" t="str">
        <x:v>SIM</x:v>
      </x:c>
      <x:c r="W96" t="str">
        <x:v>L&amp;N</x:v>
      </x:c>
      <x:c r="X96" s="12" t="str">
        <x:v>PERCENTUAL</x:v>
      </x:c>
      <x:c r="Y96" s="12"/>
      <x:c r="Z96" s="12" t="str">
        <x:v>2.6.44</x:v>
      </x:c>
      <x:c r="AA96" s="12" t="str">
        <x:v>Frete base × percentual; aplicar frete mínimo quando maior. Bloco percentual ativado; controle visual passivo.</x:v>
      </x:c>
    </x:row>
    <x:row r="97">
      <x:c r="A97" s="14" t="str">
        <x:v>REG_0096</x:v>
      </x:c>
      <x:c r="B97" s="14" t="str">
        <x:v>LN</x:v>
      </x:c>
      <x:c r="C97" s="14" t="str">
        <x:v>RED</x:v>
      </x:c>
      <x:c r="D97" s="14" t="str">
        <x:v>Banach</x:v>
      </x:c>
      <x:c r="E97" s="14" t="str">
        <x:v>PA</x:v>
      </x:c>
      <x:c r="F97" s="14" t="str">
        <x:v>28%</x:v>
      </x:c>
      <x:c r="G97" s="14" t="n">
        <x:v>70</x:v>
      </x:c>
      <x:c r="H97" s="14" t="str">
        <x:v>D+5/D+6</x:v>
      </x:c>
      <x:c r="I97" s="14" t="str">
        <x:v>doc20620720260704143045.pdf</x:v>
      </x:c>
      <x:c r="J97" s="14" t="str">
        <x:v>1</x:v>
      </x:c>
      <x:c r="K97" s="14" t="str">
        <x:v>REVISAR_OK</x:v>
      </x:c>
      <x:c r="L97"/>
      <x:c r="M97"/>
      <x:c r="N97"/>
      <x:c r="O97"/>
      <x:c r="P97"/>
      <x:c r="Q97"/>
      <x:c r="R97"/>
      <x:c r="S97"/>
      <x:c r="T97"/>
      <x:c r="U97"/>
      <x:c r="V97" t="str">
        <x:v>SIM</x:v>
      </x:c>
      <x:c r="W97" t="str">
        <x:v>L&amp;N</x:v>
      </x:c>
      <x:c r="X97" s="12" t="str">
        <x:v>PERCENTUAL</x:v>
      </x:c>
      <x:c r="Y97" s="12"/>
      <x:c r="Z97" s="12" t="str">
        <x:v>2.6.44</x:v>
      </x:c>
      <x:c r="AA97" s="12" t="str">
        <x:v>Frete base × percentual; aplicar frete mínimo quando maior. Bloco percentual ativado; controle visual passivo.</x:v>
      </x:c>
    </x:row>
    <x:row r="98">
      <x:c r="A98" s="14" t="str">
        <x:v>REG_0097</x:v>
      </x:c>
      <x:c r="B98" s="14" t="str">
        <x:v>LN</x:v>
      </x:c>
      <x:c r="C98" s="14" t="str">
        <x:v>RED</x:v>
      </x:c>
      <x:c r="D98" s="14" t="str">
        <x:v>Conceição do Araguaia</x:v>
      </x:c>
      <x:c r="E98" s="14" t="str">
        <x:v>PA</x:v>
      </x:c>
      <x:c r="F98" s="14" t="str">
        <x:v>28%</x:v>
      </x:c>
      <x:c r="G98" s="14" t="n">
        <x:v>70</x:v>
      </x:c>
      <x:c r="H98" s="14" t="str">
        <x:v>D+5/D+6</x:v>
      </x:c>
      <x:c r="I98" s="14" t="str">
        <x:v>doc20620720260704143045.pdf</x:v>
      </x:c>
      <x:c r="J98" s="14" t="str">
        <x:v>1</x:v>
      </x:c>
      <x:c r="K98" s="14" t="str">
        <x:v>REVISAR_OK</x:v>
      </x:c>
      <x:c r="L98"/>
      <x:c r="M98"/>
      <x:c r="N98"/>
      <x:c r="O98"/>
      <x:c r="P98"/>
      <x:c r="Q98"/>
      <x:c r="R98"/>
      <x:c r="S98"/>
      <x:c r="T98"/>
      <x:c r="U98"/>
      <x:c r="V98" t="str">
        <x:v>SIM</x:v>
      </x:c>
      <x:c r="W98" t="str">
        <x:v>L&amp;N</x:v>
      </x:c>
      <x:c r="X98" s="12" t="str">
        <x:v>PERCENTUAL</x:v>
      </x:c>
      <x:c r="Y98" s="12"/>
      <x:c r="Z98" s="12" t="str">
        <x:v>2.6.44</x:v>
      </x:c>
      <x:c r="AA98" s="12" t="str">
        <x:v>Frete base × percentual; aplicar frete mínimo quando maior. Bloco percentual ativado; controle visual passivo.</x:v>
      </x:c>
    </x:row>
    <x:row r="99">
      <x:c r="A99" s="14" t="str">
        <x:v>REG_0098</x:v>
      </x:c>
      <x:c r="B99" s="14" t="str">
        <x:v>LN</x:v>
      </x:c>
      <x:c r="C99" s="14" t="str">
        <x:v>RED</x:v>
      </x:c>
      <x:c r="D99" s="14" t="str">
        <x:v>Cumaru do Norte</x:v>
      </x:c>
      <x:c r="E99" s="14" t="str">
        <x:v>PA</x:v>
      </x:c>
      <x:c r="F99" s="14" t="str">
        <x:v>28%</x:v>
      </x:c>
      <x:c r="G99" s="14" t="n">
        <x:v>70</x:v>
      </x:c>
      <x:c r="H99" s="14" t="str">
        <x:v>D+5/D+6</x:v>
      </x:c>
      <x:c r="I99" s="14" t="str">
        <x:v>doc20620720260704143045.pdf</x:v>
      </x:c>
      <x:c r="J99" s="14" t="str">
        <x:v>1</x:v>
      </x:c>
      <x:c r="K99" s="14" t="str">
        <x:v>REVISAR_OK</x:v>
      </x:c>
      <x:c r="L99"/>
      <x:c r="M99"/>
      <x:c r="N99"/>
      <x:c r="O99"/>
      <x:c r="P99"/>
      <x:c r="Q99"/>
      <x:c r="R99"/>
      <x:c r="S99"/>
      <x:c r="T99"/>
      <x:c r="U99"/>
      <x:c r="V99" t="str">
        <x:v>SIM</x:v>
      </x:c>
      <x:c r="W99" t="str">
        <x:v>L&amp;N</x:v>
      </x:c>
      <x:c r="X99" s="12" t="str">
        <x:v>PERCENTUAL</x:v>
      </x:c>
      <x:c r="Y99" s="12"/>
      <x:c r="Z99" s="12" t="str">
        <x:v>2.6.44</x:v>
      </x:c>
      <x:c r="AA99" s="12" t="str">
        <x:v>Frete base × percentual; aplicar frete mínimo quando maior. Bloco percentual ativado; controle visual passivo.</x:v>
      </x:c>
    </x:row>
    <x:row r="100">
      <x:c r="A100" s="14" t="str">
        <x:v>REG_0099</x:v>
      </x:c>
      <x:c r="B100" s="14" t="str">
        <x:v>LN</x:v>
      </x:c>
      <x:c r="C100" s="14" t="str">
        <x:v>RED</x:v>
      </x:c>
      <x:c r="D100" s="14" t="str">
        <x:v>Floresta do Araguaia</x:v>
      </x:c>
      <x:c r="E100" s="14" t="str">
        <x:v>PA</x:v>
      </x:c>
      <x:c r="F100" s="14" t="str">
        <x:v>28%</x:v>
      </x:c>
      <x:c r="G100" s="14" t="n">
        <x:v>70</x:v>
      </x:c>
      <x:c r="H100" s="14" t="str">
        <x:v>D+5/D+6</x:v>
      </x:c>
      <x:c r="I100" s="14" t="str">
        <x:v>doc20620720260704143045.pdf</x:v>
      </x:c>
      <x:c r="J100" s="14" t="str">
        <x:v>1</x:v>
      </x:c>
      <x:c r="K100" s="14" t="str">
        <x:v>REVISAR_OK</x:v>
      </x:c>
      <x:c r="L100"/>
      <x:c r="M100"/>
      <x:c r="N100"/>
      <x:c r="O100"/>
      <x:c r="P100"/>
      <x:c r="Q100"/>
      <x:c r="R100"/>
      <x:c r="S100"/>
      <x:c r="T100"/>
      <x:c r="U100"/>
      <x:c r="V100" t="str">
        <x:v>SIM</x:v>
      </x:c>
      <x:c r="W100" t="str">
        <x:v>L&amp;N</x:v>
      </x:c>
      <x:c r="X100" s="12" t="str">
        <x:v>PERCENTUAL</x:v>
      </x:c>
      <x:c r="Y100" s="12"/>
      <x:c r="Z100" s="12" t="str">
        <x:v>2.6.44</x:v>
      </x:c>
      <x:c r="AA100" s="12" t="str">
        <x:v>Frete base × percentual; aplicar frete mínimo quando maior. Bloco percentual ativado; controle visual passivo.</x:v>
      </x:c>
    </x:row>
    <x:row r="101">
      <x:c r="A101" s="14" t="str">
        <x:v>REG_0100</x:v>
      </x:c>
      <x:c r="B101" s="14" t="str">
        <x:v>LN</x:v>
      </x:c>
      <x:c r="C101" s="14" t="str">
        <x:v>RED</x:v>
      </x:c>
      <x:c r="D101" s="14" t="str">
        <x:v>Pau D'Arco</x:v>
      </x:c>
      <x:c r="E101" s="14" t="str">
        <x:v>PA</x:v>
      </x:c>
      <x:c r="F101" s="14" t="str">
        <x:v>28%</x:v>
      </x:c>
      <x:c r="G101" s="14" t="n">
        <x:v>70</x:v>
      </x:c>
      <x:c r="H101" s="14" t="str">
        <x:v>D+5/D+6</x:v>
      </x:c>
      <x:c r="I101" s="14" t="str">
        <x:v>doc20620720260704143045.pdf</x:v>
      </x:c>
      <x:c r="J101" s="14" t="str">
        <x:v>1</x:v>
      </x:c>
      <x:c r="K101" s="14" t="str">
        <x:v>REVISAR_OK</x:v>
      </x:c>
      <x:c r="L101"/>
      <x:c r="M101"/>
      <x:c r="N101"/>
      <x:c r="O101"/>
      <x:c r="P101"/>
      <x:c r="Q101"/>
      <x:c r="R101"/>
      <x:c r="S101"/>
      <x:c r="T101"/>
      <x:c r="U101"/>
      <x:c r="V101" t="str">
        <x:v>SIM</x:v>
      </x:c>
      <x:c r="W101" t="str">
        <x:v>L&amp;N</x:v>
      </x:c>
      <x:c r="X101" s="12" t="str">
        <x:v>PERCENTUAL</x:v>
      </x:c>
      <x:c r="Y101" s="12"/>
      <x:c r="Z101" s="12" t="str">
        <x:v>2.6.44</x:v>
      </x:c>
      <x:c r="AA101" s="12" t="str">
        <x:v>Frete base × percentual; aplicar frete mínimo quando maior. Bloco percentual ativado; controle visual passivo.</x:v>
      </x:c>
    </x:row>
    <x:row r="102">
      <x:c r="A102" s="14" t="str">
        <x:v>REG_0101</x:v>
      </x:c>
      <x:c r="B102" s="14" t="str">
        <x:v>LN</x:v>
      </x:c>
      <x:c r="C102" s="14" t="str">
        <x:v>RED</x:v>
      </x:c>
      <x:c r="D102" s="14" t="str">
        <x:v>Redenção</x:v>
      </x:c>
      <x:c r="E102" s="14" t="str">
        <x:v>PA</x:v>
      </x:c>
      <x:c r="F102" s="14" t="str">
        <x:v>28%</x:v>
      </x:c>
      <x:c r="G102" s="14" t="n">
        <x:v>70</x:v>
      </x:c>
      <x:c r="H102" s="14" t="str">
        <x:v>D+5/D+6</x:v>
      </x:c>
      <x:c r="I102" s="14" t="str">
        <x:v>doc20620720260704143045.pdf</x:v>
      </x:c>
      <x:c r="J102" s="14" t="str">
        <x:v>1</x:v>
      </x:c>
      <x:c r="K102" s="14" t="str">
        <x:v>REVISAR_OK</x:v>
      </x:c>
      <x:c r="L102"/>
      <x:c r="M102"/>
      <x:c r="N102"/>
      <x:c r="O102"/>
      <x:c r="P102"/>
      <x:c r="Q102"/>
      <x:c r="R102"/>
      <x:c r="S102"/>
      <x:c r="T102"/>
      <x:c r="U102"/>
      <x:c r="V102" t="str">
        <x:v>SIM</x:v>
      </x:c>
      <x:c r="W102" t="str">
        <x:v>L&amp;N</x:v>
      </x:c>
      <x:c r="X102" s="12" t="str">
        <x:v>PERCENTUAL</x:v>
      </x:c>
      <x:c r="Y102" s="12"/>
      <x:c r="Z102" s="12" t="str">
        <x:v>2.6.44</x:v>
      </x:c>
      <x:c r="AA102" s="12" t="str">
        <x:v>Frete base × percentual; aplicar frete mínimo quando maior. Bloco percentual ativado; controle visual passivo.</x:v>
      </x:c>
    </x:row>
    <x:row r="103">
      <x:c r="A103" s="14" t="str">
        <x:v>REG_0102</x:v>
      </x:c>
      <x:c r="B103" s="14" t="str">
        <x:v>LN</x:v>
      </x:c>
      <x:c r="C103" s="14" t="str">
        <x:v>RED</x:v>
      </x:c>
      <x:c r="D103" s="14" t="str">
        <x:v>Rio Maria</x:v>
      </x:c>
      <x:c r="E103" s="14" t="str">
        <x:v>PA</x:v>
      </x:c>
      <x:c r="F103" s="14" t="str">
        <x:v>28%</x:v>
      </x:c>
      <x:c r="G103" s="14" t="n">
        <x:v>70</x:v>
      </x:c>
      <x:c r="H103" s="14" t="str">
        <x:v>D+5/D+6</x:v>
      </x:c>
      <x:c r="I103" s="14" t="str">
        <x:v>doc20620720260704143045.pdf</x:v>
      </x:c>
      <x:c r="J103" s="14" t="str">
        <x:v>1</x:v>
      </x:c>
      <x:c r="K103" s="14" t="str">
        <x:v>REVISAR_OK</x:v>
      </x:c>
      <x:c r="L103"/>
      <x:c r="M103"/>
      <x:c r="N103"/>
      <x:c r="O103"/>
      <x:c r="P103"/>
      <x:c r="Q103"/>
      <x:c r="R103"/>
      <x:c r="S103"/>
      <x:c r="T103"/>
      <x:c r="U103"/>
      <x:c r="V103" t="str">
        <x:v>SIM</x:v>
      </x:c>
      <x:c r="W103" t="str">
        <x:v>L&amp;N</x:v>
      </x:c>
      <x:c r="X103" s="12" t="str">
        <x:v>PERCENTUAL</x:v>
      </x:c>
      <x:c r="Y103" s="12"/>
      <x:c r="Z103" s="12" t="str">
        <x:v>2.6.44</x:v>
      </x:c>
      <x:c r="AA103" s="12" t="str">
        <x:v>Frete base × percentual; aplicar frete mínimo quando maior. Bloco percentual ativado; controle visual passivo.</x:v>
      </x:c>
    </x:row>
    <x:row r="104">
      <x:c r="A104" s="14" t="str">
        <x:v>REG_0103</x:v>
      </x:c>
      <x:c r="B104" s="14" t="str">
        <x:v>LN</x:v>
      </x:c>
      <x:c r="C104" s="14" t="str">
        <x:v>RED</x:v>
      </x:c>
      <x:c r="D104" s="14" t="str">
        <x:v>Santa Maria das Barreiras</x:v>
      </x:c>
      <x:c r="E104" s="14" t="str">
        <x:v>PA</x:v>
      </x:c>
      <x:c r="F104" s="14" t="str">
        <x:v>28%</x:v>
      </x:c>
      <x:c r="G104" s="14" t="n">
        <x:v>70</x:v>
      </x:c>
      <x:c r="H104" s="14" t="str">
        <x:v>D+5/D+6</x:v>
      </x:c>
      <x:c r="I104" s="14" t="str">
        <x:v>doc20620720260704143045.pdf</x:v>
      </x:c>
      <x:c r="J104" s="14" t="str">
        <x:v>1</x:v>
      </x:c>
      <x:c r="K104" s="14" t="str">
        <x:v>REVISAR_OK</x:v>
      </x:c>
      <x:c r="L104"/>
      <x:c r="M104"/>
      <x:c r="N104"/>
      <x:c r="O104"/>
      <x:c r="P104"/>
      <x:c r="Q104"/>
      <x:c r="R104"/>
      <x:c r="S104"/>
      <x:c r="T104"/>
      <x:c r="U104"/>
      <x:c r="V104" t="str">
        <x:v>SIM</x:v>
      </x:c>
      <x:c r="W104" t="str">
        <x:v>L&amp;N</x:v>
      </x:c>
      <x:c r="X104" s="12" t="str">
        <x:v>PERCENTUAL</x:v>
      </x:c>
      <x:c r="Y104" s="12"/>
      <x:c r="Z104" s="12" t="str">
        <x:v>2.6.44</x:v>
      </x:c>
      <x:c r="AA104" s="12" t="str">
        <x:v>Frete base × percentual; aplicar frete mínimo quando maior. Bloco percentual ativado; controle visual passivo.</x:v>
      </x:c>
    </x:row>
    <x:row r="105">
      <x:c r="A105" s="14" t="str">
        <x:v>REG_0104</x:v>
      </x:c>
      <x:c r="B105" s="14" t="str">
        <x:v>LN</x:v>
      </x:c>
      <x:c r="C105" s="14" t="str">
        <x:v>RED</x:v>
      </x:c>
      <x:c r="D105" s="14" t="str">
        <x:v>Santana do Araguaia</x:v>
      </x:c>
      <x:c r="E105" s="14" t="str">
        <x:v>PA</x:v>
      </x:c>
      <x:c r="F105" s="14" t="str">
        <x:v>28%</x:v>
      </x:c>
      <x:c r="G105" s="14" t="n">
        <x:v>70</x:v>
      </x:c>
      <x:c r="H105" s="14" t="str">
        <x:v>D+5/D+6</x:v>
      </x:c>
      <x:c r="I105" s="14" t="str">
        <x:v>doc20620720260704143045.pdf</x:v>
      </x:c>
      <x:c r="J105" s="14" t="str">
        <x:v>1</x:v>
      </x:c>
      <x:c r="K105" s="14" t="str">
        <x:v>REVISAR_OK</x:v>
      </x:c>
      <x:c r="L105"/>
      <x:c r="M105"/>
      <x:c r="N105"/>
      <x:c r="O105"/>
      <x:c r="P105"/>
      <x:c r="Q105"/>
      <x:c r="R105"/>
      <x:c r="S105"/>
      <x:c r="T105"/>
      <x:c r="U105"/>
      <x:c r="V105" t="str">
        <x:v>SIM</x:v>
      </x:c>
      <x:c r="W105" t="str">
        <x:v>L&amp;N</x:v>
      </x:c>
      <x:c r="X105" s="12" t="str">
        <x:v>PERCENTUAL</x:v>
      </x:c>
      <x:c r="Y105" s="12"/>
      <x:c r="Z105" s="12" t="str">
        <x:v>2.6.44</x:v>
      </x:c>
      <x:c r="AA105" s="12" t="str">
        <x:v>Frete base × percentual; aplicar frete mínimo quando maior. Bloco percentual ativado; controle visual passivo.</x:v>
      </x:c>
    </x:row>
    <x:row r="106">
      <x:c r="A106" s="14" t="str">
        <x:v>REG_0105</x:v>
      </x:c>
      <x:c r="B106" s="14" t="str">
        <x:v>LN</x:v>
      </x:c>
      <x:c r="C106" s="14" t="str">
        <x:v>XIG</x:v>
      </x:c>
      <x:c r="D106" s="14" t="str">
        <x:v>Xinguara</x:v>
      </x:c>
      <x:c r="E106" s="14" t="str">
        <x:v>PA</x:v>
      </x:c>
      <x:c r="F106" s="14" t="str">
        <x:v>28%</x:v>
      </x:c>
      <x:c r="G106" s="14" t="n">
        <x:v>70</x:v>
      </x:c>
      <x:c r="H106" s="14" t="str">
        <x:v>D+5/D+6</x:v>
      </x:c>
      <x:c r="I106" s="14" t="str">
        <x:v>doc20620720260704143045.pdf</x:v>
      </x:c>
      <x:c r="J106" s="14" t="str">
        <x:v>1</x:v>
      </x:c>
      <x:c r="K106" s="14" t="str">
        <x:v>REVISAR_OK</x:v>
      </x:c>
      <x:c r="L106"/>
      <x:c r="M106"/>
      <x:c r="N106"/>
      <x:c r="O106"/>
      <x:c r="P106"/>
      <x:c r="Q106"/>
      <x:c r="R106"/>
      <x:c r="S106"/>
      <x:c r="T106"/>
      <x:c r="U106"/>
      <x:c r="V106" t="str">
        <x:v>SIM</x:v>
      </x:c>
      <x:c r="W106" t="str">
        <x:v>L&amp;N</x:v>
      </x:c>
      <x:c r="X106" s="12" t="str">
        <x:v>PERCENTUAL</x:v>
      </x:c>
      <x:c r="Y106" s="12"/>
      <x:c r="Z106" s="12" t="str">
        <x:v>2.6.44</x:v>
      </x:c>
      <x:c r="AA106" s="12" t="str">
        <x:v>Frete base × percentual; aplicar frete mínimo quando maior. Bloco percentual ativado; controle visual passivo.</x:v>
      </x:c>
    </x:row>
    <x:row r="107">
      <x:c r="A107" s="14" t="str">
        <x:v>REG_0106</x:v>
      </x:c>
      <x:c r="B107" s="14" t="str">
        <x:v>LN</x:v>
      </x:c>
      <x:c r="C107" s="14" t="str">
        <x:v>XIG</x:v>
      </x:c>
      <x:c r="D107" s="14" t="str">
        <x:v>Sapucaia</x:v>
      </x:c>
      <x:c r="E107" s="14" t="str">
        <x:v>PA</x:v>
      </x:c>
      <x:c r="F107" s="14" t="str">
        <x:v>28%</x:v>
      </x:c>
      <x:c r="G107" s="14" t="n">
        <x:v>70</x:v>
      </x:c>
      <x:c r="H107" s="14" t="str">
        <x:v>D+5/D+6</x:v>
      </x:c>
      <x:c r="I107" s="14" t="str">
        <x:v>doc20620720260704143045.pdf</x:v>
      </x:c>
      <x:c r="J107" s="14" t="str">
        <x:v>1</x:v>
      </x:c>
      <x:c r="K107" s="14" t="str">
        <x:v>REVISAR_OK</x:v>
      </x:c>
      <x:c r="L107"/>
      <x:c r="M107"/>
      <x:c r="N107"/>
      <x:c r="O107"/>
      <x:c r="P107"/>
      <x:c r="Q107"/>
      <x:c r="R107"/>
      <x:c r="S107"/>
      <x:c r="T107"/>
      <x:c r="U107"/>
      <x:c r="V107" t="str">
        <x:v>SIM</x:v>
      </x:c>
      <x:c r="W107" t="str">
        <x:v>L&amp;N</x:v>
      </x:c>
      <x:c r="X107" s="12" t="str">
        <x:v>PERCENTUAL</x:v>
      </x:c>
      <x:c r="Y107" s="12"/>
      <x:c r="Z107" s="12" t="str">
        <x:v>2.6.44</x:v>
      </x:c>
      <x:c r="AA107" s="12" t="str">
        <x:v>Frete base × percentual; aplicar frete mínimo quando maior. Bloco percentual ativado; controle visual passivo.</x:v>
      </x:c>
    </x:row>
    <x:row r="108">
      <x:c r="A108" s="14" t="str">
        <x:v>REG_0107</x:v>
      </x:c>
      <x:c r="B108" s="14" t="str">
        <x:v>LN</x:v>
      </x:c>
      <x:c r="C108" s="14" t="str">
        <x:v>XIG</x:v>
      </x:c>
      <x:c r="D108" s="14" t="str">
        <x:v>Água Azul do Norte</x:v>
      </x:c>
      <x:c r="E108" s="14" t="str">
        <x:v>PA</x:v>
      </x:c>
      <x:c r="F108" s="14" t="str">
        <x:v>28%</x:v>
      </x:c>
      <x:c r="G108" s="14" t="n">
        <x:v>70</x:v>
      </x:c>
      <x:c r="H108" s="14" t="str">
        <x:v>D+5/D+6</x:v>
      </x:c>
      <x:c r="I108" s="14" t="str">
        <x:v>doc20620720260704143045.pdf</x:v>
      </x:c>
      <x:c r="J108" s="14" t="str">
        <x:v>1</x:v>
      </x:c>
      <x:c r="K108" s="14" t="str">
        <x:v>REVISAR_OK</x:v>
      </x:c>
      <x:c r="L108"/>
      <x:c r="M108"/>
      <x:c r="N108"/>
      <x:c r="O108"/>
      <x:c r="P108"/>
      <x:c r="Q108"/>
      <x:c r="R108"/>
      <x:c r="S108"/>
      <x:c r="T108"/>
      <x:c r="U108"/>
      <x:c r="V108" t="str">
        <x:v>SIM</x:v>
      </x:c>
      <x:c r="W108" t="str">
        <x:v>L&amp;N</x:v>
      </x:c>
      <x:c r="X108" s="12" t="str">
        <x:v>PERCENTUAL</x:v>
      </x:c>
      <x:c r="Y108" s="12"/>
      <x:c r="Z108" s="12" t="str">
        <x:v>2.6.44</x:v>
      </x:c>
      <x:c r="AA108" s="12" t="str">
        <x:v>Frete base × percentual; aplicar frete mínimo quando maior. Bloco percentual ativado; controle visual passivo.</x:v>
      </x:c>
    </x:row>
    <x:row r="109">
      <x:c r="A109" s="14" t="str">
        <x:v>REG_0108</x:v>
      </x:c>
      <x:c r="B109" s="14" t="str">
        <x:v>LN</x:v>
      </x:c>
      <x:c r="C109" s="14" t="str">
        <x:v>XIG</x:v>
      </x:c>
      <x:c r="D109" s="14" t="str">
        <x:v>Ourilândia</x:v>
      </x:c>
      <x:c r="E109" s="14" t="str">
        <x:v>PA</x:v>
      </x:c>
      <x:c r="F109" s="14" t="str">
        <x:v>28%</x:v>
      </x:c>
      <x:c r="G109" s="14" t="n">
        <x:v>70</x:v>
      </x:c>
      <x:c r="H109" s="14" t="str">
        <x:v>D+5/D+6</x:v>
      </x:c>
      <x:c r="I109" s="14" t="str">
        <x:v>doc20620720260704143045.pdf</x:v>
      </x:c>
      <x:c r="J109" s="14" t="str">
        <x:v>1</x:v>
      </x:c>
      <x:c r="K109" s="14" t="str">
        <x:v>REVISAR_OK</x:v>
      </x:c>
      <x:c r="L109"/>
      <x:c r="M109"/>
      <x:c r="N109"/>
      <x:c r="O109"/>
      <x:c r="P109"/>
      <x:c r="Q109"/>
      <x:c r="R109"/>
      <x:c r="S109"/>
      <x:c r="T109"/>
      <x:c r="U109"/>
      <x:c r="V109" t="str">
        <x:v>SIM</x:v>
      </x:c>
      <x:c r="W109" t="str">
        <x:v>L&amp;N</x:v>
      </x:c>
      <x:c r="X109" s="12" t="str">
        <x:v>PERCENTUAL</x:v>
      </x:c>
      <x:c r="Y109" s="12"/>
      <x:c r="Z109" s="12" t="str">
        <x:v>2.6.44</x:v>
      </x:c>
      <x:c r="AA109" s="12" t="str">
        <x:v>Frete base × percentual; aplicar frete mínimo quando maior. Bloco percentual ativado; controle visual passivo.</x:v>
      </x:c>
    </x:row>
    <x:row r="110">
      <x:c r="A110" s="14" t="str">
        <x:v>REG_0109</x:v>
      </x:c>
      <x:c r="B110" s="14" t="str">
        <x:v>LN</x:v>
      </x:c>
      <x:c r="C110" s="14" t="str">
        <x:v>XIG</x:v>
      </x:c>
      <x:c r="D110" s="14" t="str">
        <x:v>Tucumã</x:v>
      </x:c>
      <x:c r="E110" s="14" t="str">
        <x:v>PA</x:v>
      </x:c>
      <x:c r="F110" s="14" t="str">
        <x:v>28%</x:v>
      </x:c>
      <x:c r="G110" s="14" t="n">
        <x:v>70</x:v>
      </x:c>
      <x:c r="H110" s="14" t="str">
        <x:v>D+5/D+6</x:v>
      </x:c>
      <x:c r="I110" s="14" t="str">
        <x:v>doc20620720260704143045.pdf</x:v>
      </x:c>
      <x:c r="J110" s="14" t="str">
        <x:v>1</x:v>
      </x:c>
      <x:c r="K110" s="14" t="str">
        <x:v>REVISAR_OK</x:v>
      </x:c>
      <x:c r="L110"/>
      <x:c r="M110"/>
      <x:c r="N110"/>
      <x:c r="O110"/>
      <x:c r="P110"/>
      <x:c r="Q110"/>
      <x:c r="R110"/>
      <x:c r="S110"/>
      <x:c r="T110"/>
      <x:c r="U110"/>
      <x:c r="V110" t="str">
        <x:v>SIM</x:v>
      </x:c>
      <x:c r="W110" t="str">
        <x:v>L&amp;N</x:v>
      </x:c>
      <x:c r="X110" s="12" t="str">
        <x:v>PERCENTUAL</x:v>
      </x:c>
      <x:c r="Y110" s="12"/>
      <x:c r="Z110" s="12" t="str">
        <x:v>2.6.44</x:v>
      </x:c>
      <x:c r="AA110" s="12" t="str">
        <x:v>Frete base × percentual; aplicar frete mínimo quando maior. Bloco percentual ativado; controle visual passivo.</x:v>
      </x:c>
    </x:row>
    <x:row r="111">
      <x:c r="A111" s="14" t="str">
        <x:v>REG_0110</x:v>
      </x:c>
      <x:c r="B111" s="14" t="str">
        <x:v>LN</x:v>
      </x:c>
      <x:c r="C111" s="14" t="str">
        <x:v>XIG</x:v>
      </x:c>
      <x:c r="D111" s="14" t="str">
        <x:v>São Félix do Xingu</x:v>
      </x:c>
      <x:c r="E111" s="14" t="str">
        <x:v>PA</x:v>
      </x:c>
      <x:c r="F111" s="14" t="str">
        <x:v>28%</x:v>
      </x:c>
      <x:c r="G111" s="14" t="n">
        <x:v>70</x:v>
      </x:c>
      <x:c r="H111" s="14" t="str">
        <x:v>D+5/D+6</x:v>
      </x:c>
      <x:c r="I111" s="14" t="str">
        <x:v>doc20620720260704143045.pdf</x:v>
      </x:c>
      <x:c r="J111" s="14" t="str">
        <x:v>1</x:v>
      </x:c>
      <x:c r="K111" s="14" t="str">
        <x:v>REVISAR_OK</x:v>
      </x:c>
      <x:c r="L111"/>
      <x:c r="M111"/>
      <x:c r="N111"/>
      <x:c r="O111"/>
      <x:c r="P111"/>
      <x:c r="Q111"/>
      <x:c r="R111"/>
      <x:c r="S111"/>
      <x:c r="T111"/>
      <x:c r="U111"/>
      <x:c r="V111" t="str">
        <x:v>SIM</x:v>
      </x:c>
      <x:c r="W111" t="str">
        <x:v>L&amp;N</x:v>
      </x:c>
      <x:c r="X111" s="12" t="str">
        <x:v>PERCENTUAL</x:v>
      </x:c>
      <x:c r="Y111" s="12"/>
      <x:c r="Z111" s="12" t="str">
        <x:v>2.6.44</x:v>
      </x:c>
      <x:c r="AA111" s="12" t="str">
        <x:v>Frete base × percentual; aplicar frete mínimo quando maior. Bloco percentual ativado; controle visual passivo.</x:v>
      </x:c>
    </x:row>
    <x:row r="112">
      <x:c r="A112" s="14" t="str">
        <x:v>REG_0111</x:v>
      </x:c>
      <x:c r="B112" s="14" t="str">
        <x:v>LN</x:v>
      </x:c>
      <x:c r="C112" s="14" t="str">
        <x:v>ALT</x:v>
      </x:c>
      <x:c r="D112" s="14" t="str">
        <x:v>Altamira</x:v>
      </x:c>
      <x:c r="E112" s="14" t="str">
        <x:v>PA</x:v>
      </x:c>
      <x:c r="F112" s="14" t="str">
        <x:v>30%</x:v>
      </x:c>
      <x:c r="G112" s="14" t="n">
        <x:v>100</x:v>
      </x:c>
      <x:c r="H112" s="14" t="str">
        <x:v>D+7/D+8</x:v>
      </x:c>
      <x:c r="I112" s="14" t="str">
        <x:v>doc20620720260704143045.pdf</x:v>
      </x:c>
      <x:c r="J112" s="14" t="str">
        <x:v>1</x:v>
      </x:c>
      <x:c r="K112" s="14" t="str">
        <x:v>REVISAR_OK</x:v>
      </x:c>
      <x:c r="L112"/>
      <x:c r="M112"/>
      <x:c r="N112"/>
      <x:c r="O112"/>
      <x:c r="P112"/>
      <x:c r="Q112"/>
      <x:c r="R112"/>
      <x:c r="S112"/>
      <x:c r="T112"/>
      <x:c r="U112"/>
      <x:c r="V112" t="str">
        <x:v>SIM</x:v>
      </x:c>
      <x:c r="W112" t="str">
        <x:v>L&amp;N</x:v>
      </x:c>
      <x:c r="X112" s="12" t="str">
        <x:v>PERCENTUAL</x:v>
      </x:c>
      <x:c r="Y112" s="12"/>
      <x:c r="Z112" s="12" t="str">
        <x:v>2.6.44</x:v>
      </x:c>
      <x:c r="AA112" s="12" t="str">
        <x:v>Frete base × percentual; aplicar frete mínimo quando maior. Bloco percentual ativado; controle visual passivo.</x:v>
      </x:c>
    </x:row>
    <x:row r="113">
      <x:c r="A113" s="14" t="str">
        <x:v>REG_0112</x:v>
      </x:c>
      <x:c r="B113" s="14" t="str">
        <x:v>LN</x:v>
      </x:c>
      <x:c r="C113" s="14" t="str">
        <x:v>ALT</x:v>
      </x:c>
      <x:c r="D113" s="14" t="str">
        <x:v>Anapu</x:v>
      </x:c>
      <x:c r="E113" s="14" t="str">
        <x:v>PA</x:v>
      </x:c>
      <x:c r="F113" s="14" t="str">
        <x:v>30%</x:v>
      </x:c>
      <x:c r="G113" s="14" t="n">
        <x:v>100</x:v>
      </x:c>
      <x:c r="H113" s="14" t="str">
        <x:v>D+7/D+8</x:v>
      </x:c>
      <x:c r="I113" s="14" t="str">
        <x:v>doc20620720260704143045.pdf</x:v>
      </x:c>
      <x:c r="J113" s="14" t="str">
        <x:v>1</x:v>
      </x:c>
      <x:c r="K113" s="14" t="str">
        <x:v>REVISAR_OK</x:v>
      </x:c>
      <x:c r="L113"/>
      <x:c r="M113"/>
      <x:c r="N113"/>
      <x:c r="O113"/>
      <x:c r="P113"/>
      <x:c r="Q113"/>
      <x:c r="R113"/>
      <x:c r="S113"/>
      <x:c r="T113"/>
      <x:c r="U113"/>
      <x:c r="V113" t="str">
        <x:v>SIM</x:v>
      </x:c>
      <x:c r="W113" t="str">
        <x:v>L&amp;N</x:v>
      </x:c>
      <x:c r="X113" s="12" t="str">
        <x:v>PERCENTUAL</x:v>
      </x:c>
      <x:c r="Y113" s="12"/>
      <x:c r="Z113" s="12" t="str">
        <x:v>2.6.44</x:v>
      </x:c>
      <x:c r="AA113" s="12" t="str">
        <x:v>Frete base × percentual; aplicar frete mínimo quando maior. Bloco percentual ativado; controle visual passivo.</x:v>
      </x:c>
    </x:row>
    <x:row r="114">
      <x:c r="A114" s="14" t="str">
        <x:v>REG_0113</x:v>
      </x:c>
      <x:c r="B114" s="14" t="str">
        <x:v>LN</x:v>
      </x:c>
      <x:c r="C114" s="14" t="str">
        <x:v>ALT</x:v>
      </x:c>
      <x:c r="D114" s="14" t="str">
        <x:v>Brasil Novo</x:v>
      </x:c>
      <x:c r="E114" s="14" t="str">
        <x:v>PA</x:v>
      </x:c>
      <x:c r="F114" s="14" t="str">
        <x:v>30%</x:v>
      </x:c>
      <x:c r="G114" s="14" t="n">
        <x:v>100</x:v>
      </x:c>
      <x:c r="H114" s="14" t="str">
        <x:v>D+7/D+8</x:v>
      </x:c>
      <x:c r="I114" s="14" t="str">
        <x:v>doc20620720260704143045.pdf</x:v>
      </x:c>
      <x:c r="J114" s="14" t="str">
        <x:v>1</x:v>
      </x:c>
      <x:c r="K114" s="14" t="str">
        <x:v>REVISAR_OK</x:v>
      </x:c>
      <x:c r="L114"/>
      <x:c r="M114"/>
      <x:c r="N114"/>
      <x:c r="O114"/>
      <x:c r="P114"/>
      <x:c r="Q114"/>
      <x:c r="R114"/>
      <x:c r="S114"/>
      <x:c r="T114"/>
      <x:c r="U114"/>
      <x:c r="V114" t="str">
        <x:v>SIM</x:v>
      </x:c>
      <x:c r="W114" t="str">
        <x:v>L&amp;N</x:v>
      </x:c>
      <x:c r="X114" s="12" t="str">
        <x:v>PERCENTUAL</x:v>
      </x:c>
      <x:c r="Y114" s="12"/>
      <x:c r="Z114" s="12" t="str">
        <x:v>2.6.44</x:v>
      </x:c>
      <x:c r="AA114" s="12" t="str">
        <x:v>Frete base × percentual; aplicar frete mínimo quando maior. Bloco percentual ativado; controle visual passivo.</x:v>
      </x:c>
    </x:row>
    <x:row r="115">
      <x:c r="A115" s="14" t="str">
        <x:v>REG_0114</x:v>
      </x:c>
      <x:c r="B115" s="14" t="str">
        <x:v>LN</x:v>
      </x:c>
      <x:c r="C115" s="14" t="str">
        <x:v>ALT</x:v>
      </x:c>
      <x:c r="D115" s="14" t="str">
        <x:v>Medicilândia</x:v>
      </x:c>
      <x:c r="E115" s="14" t="str">
        <x:v>PA</x:v>
      </x:c>
      <x:c r="F115" s="14" t="str">
        <x:v>30%</x:v>
      </x:c>
      <x:c r="G115" s="14" t="n">
        <x:v>100</x:v>
      </x:c>
      <x:c r="H115" s="14" t="str">
        <x:v>D+7/D+8</x:v>
      </x:c>
      <x:c r="I115" s="14" t="str">
        <x:v>doc20620720260704143045.pdf</x:v>
      </x:c>
      <x:c r="J115" s="14" t="str">
        <x:v>1</x:v>
      </x:c>
      <x:c r="K115" s="14" t="str">
        <x:v>REVISAR_OK</x:v>
      </x:c>
      <x:c r="L115"/>
      <x:c r="M115"/>
      <x:c r="N115"/>
      <x:c r="O115"/>
      <x:c r="P115"/>
      <x:c r="Q115"/>
      <x:c r="R115"/>
      <x:c r="S115"/>
      <x:c r="T115"/>
      <x:c r="U115"/>
      <x:c r="V115" t="str">
        <x:v>SIM</x:v>
      </x:c>
      <x:c r="W115" t="str">
        <x:v>L&amp;N</x:v>
      </x:c>
      <x:c r="X115" s="12" t="str">
        <x:v>PERCENTUAL</x:v>
      </x:c>
      <x:c r="Y115" s="12"/>
      <x:c r="Z115" s="12" t="str">
        <x:v>2.6.44</x:v>
      </x:c>
      <x:c r="AA115" s="12" t="str">
        <x:v>Frete base × percentual; aplicar frete mínimo quando maior. Bloco percentual ativado; controle visual passivo.</x:v>
      </x:c>
    </x:row>
    <x:row r="116">
      <x:c r="A116" s="14" t="str">
        <x:v>REG_0115</x:v>
      </x:c>
      <x:c r="B116" s="14" t="str">
        <x:v>LN</x:v>
      </x:c>
      <x:c r="C116" s="14" t="str">
        <x:v>ALT</x:v>
      </x:c>
      <x:c r="D116" s="14" t="str">
        <x:v>Pacajá</x:v>
      </x:c>
      <x:c r="E116" s="14" t="str">
        <x:v>PA</x:v>
      </x:c>
      <x:c r="F116" s="14" t="str">
        <x:v>30%</x:v>
      </x:c>
      <x:c r="G116" s="14" t="n">
        <x:v>100</x:v>
      </x:c>
      <x:c r="H116" s="14" t="str">
        <x:v>D+7/D+8</x:v>
      </x:c>
      <x:c r="I116" s="14" t="str">
        <x:v>doc20620720260704143045.pdf</x:v>
      </x:c>
      <x:c r="J116" s="14" t="str">
        <x:v>1</x:v>
      </x:c>
      <x:c r="K116" s="14" t="str">
        <x:v>REVISAR_OK</x:v>
      </x:c>
      <x:c r="L116"/>
      <x:c r="M116"/>
      <x:c r="N116"/>
      <x:c r="O116"/>
      <x:c r="P116"/>
      <x:c r="Q116"/>
      <x:c r="R116"/>
      <x:c r="S116"/>
      <x:c r="T116"/>
      <x:c r="U116"/>
      <x:c r="V116" t="str">
        <x:v>SIM</x:v>
      </x:c>
      <x:c r="W116" t="str">
        <x:v>L&amp;N</x:v>
      </x:c>
      <x:c r="X116" s="12" t="str">
        <x:v>PERCENTUAL</x:v>
      </x:c>
      <x:c r="Y116" s="12"/>
      <x:c r="Z116" s="12" t="str">
        <x:v>2.6.44</x:v>
      </x:c>
      <x:c r="AA116" s="12" t="str">
        <x:v>Frete base × percentual; aplicar frete mínimo quando maior. Bloco percentual ativado; controle visual passivo.</x:v>
      </x:c>
    </x:row>
    <x:row r="117">
      <x:c r="A117" s="14" t="str">
        <x:v>REG_0116</x:v>
      </x:c>
      <x:c r="B117" s="14" t="str">
        <x:v>LN</x:v>
      </x:c>
      <x:c r="C117" s="14" t="str">
        <x:v>ALT</x:v>
      </x:c>
      <x:c r="D117" s="14" t="str">
        <x:v>Novo Repartimento</x:v>
      </x:c>
      <x:c r="E117" s="14" t="str">
        <x:v>PA</x:v>
      </x:c>
      <x:c r="F117" s="14" t="str">
        <x:v>30%</x:v>
      </x:c>
      <x:c r="G117" s="14" t="n">
        <x:v>100</x:v>
      </x:c>
      <x:c r="H117" s="14" t="str">
        <x:v>D+7/D+8</x:v>
      </x:c>
      <x:c r="I117" s="14" t="str">
        <x:v>doc20620720260704143045.pdf</x:v>
      </x:c>
      <x:c r="J117" s="14" t="str">
        <x:v>1</x:v>
      </x:c>
      <x:c r="K117" s="14" t="str">
        <x:v>REVISAR_OK</x:v>
      </x:c>
      <x:c r="L117"/>
      <x:c r="M117"/>
      <x:c r="N117"/>
      <x:c r="O117"/>
      <x:c r="P117"/>
      <x:c r="Q117"/>
      <x:c r="R117"/>
      <x:c r="S117"/>
      <x:c r="T117"/>
      <x:c r="U117"/>
      <x:c r="V117" t="str">
        <x:v>SIM</x:v>
      </x:c>
      <x:c r="W117" t="str">
        <x:v>L&amp;N</x:v>
      </x:c>
      <x:c r="X117" s="12" t="str">
        <x:v>PERCENTUAL</x:v>
      </x:c>
      <x:c r="Y117" s="12"/>
      <x:c r="Z117" s="12" t="str">
        <x:v>2.6.44</x:v>
      </x:c>
      <x:c r="AA117" s="12" t="str">
        <x:v>Frete base × percentual; aplicar frete mínimo quando maior. Bloco percentual ativado; controle visual passivo.</x:v>
      </x:c>
    </x:row>
    <x:row r="118">
      <x:c r="A118" s="14" t="str">
        <x:v>REG_0117</x:v>
      </x:c>
      <x:c r="B118" s="14" t="str">
        <x:v>LN</x:v>
      </x:c>
      <x:c r="C118" s="14" t="str">
        <x:v>ALT</x:v>
      </x:c>
      <x:c r="D118" s="14" t="str">
        <x:v>Placas</x:v>
      </x:c>
      <x:c r="E118" s="14" t="str">
        <x:v>PA</x:v>
      </x:c>
      <x:c r="F118" s="14" t="str">
        <x:v>30%</x:v>
      </x:c>
      <x:c r="G118" s="14" t="n">
        <x:v>100</x:v>
      </x:c>
      <x:c r="H118" s="14" t="str">
        <x:v>D+7/D+8</x:v>
      </x:c>
      <x:c r="I118" s="14" t="str">
        <x:v>doc20620720260704143045.pdf</x:v>
      </x:c>
      <x:c r="J118" s="14" t="str">
        <x:v>1</x:v>
      </x:c>
      <x:c r="K118" s="14" t="str">
        <x:v>REVISAR_OK</x:v>
      </x:c>
      <x:c r="L118"/>
      <x:c r="M118"/>
      <x:c r="N118"/>
      <x:c r="O118"/>
      <x:c r="P118"/>
      <x:c r="Q118"/>
      <x:c r="R118"/>
      <x:c r="S118"/>
      <x:c r="T118"/>
      <x:c r="U118"/>
      <x:c r="V118" t="str">
        <x:v>SIM</x:v>
      </x:c>
      <x:c r="W118" t="str">
        <x:v>L&amp;N</x:v>
      </x:c>
      <x:c r="X118" s="12" t="str">
        <x:v>PERCENTUAL</x:v>
      </x:c>
      <x:c r="Y118" s="12"/>
      <x:c r="Z118" s="12" t="str">
        <x:v>2.6.44</x:v>
      </x:c>
      <x:c r="AA118" s="12" t="str">
        <x:v>Frete base × percentual; aplicar frete mínimo quando maior. Bloco percentual ativado; controle visual passivo.</x:v>
      </x:c>
    </x:row>
    <x:row r="119">
      <x:c r="A119" s="14" t="str">
        <x:v>REG_0118</x:v>
      </x:c>
      <x:c r="B119" s="14" t="str">
        <x:v>LN</x:v>
      </x:c>
      <x:c r="C119" s="14" t="str">
        <x:v>ALT</x:v>
      </x:c>
      <x:c r="D119" s="14" t="str">
        <x:v>Rurópolis</x:v>
      </x:c>
      <x:c r="E119" s="14" t="str">
        <x:v>PA</x:v>
      </x:c>
      <x:c r="F119" s="14" t="str">
        <x:v>30%</x:v>
      </x:c>
      <x:c r="G119" s="14" t="n">
        <x:v>100</x:v>
      </x:c>
      <x:c r="H119" s="14" t="str">
        <x:v>D+7/D+8</x:v>
      </x:c>
      <x:c r="I119" s="14" t="str">
        <x:v>doc20620720260704143045.pdf</x:v>
      </x:c>
      <x:c r="J119" s="14" t="str">
        <x:v>1</x:v>
      </x:c>
      <x:c r="K119" s="14" t="str">
        <x:v>REVISAR_OK</x:v>
      </x:c>
      <x:c r="L119"/>
      <x:c r="M119"/>
      <x:c r="N119"/>
      <x:c r="O119"/>
      <x:c r="P119"/>
      <x:c r="Q119"/>
      <x:c r="R119"/>
      <x:c r="S119"/>
      <x:c r="T119"/>
      <x:c r="U119"/>
      <x:c r="V119" t="str">
        <x:v>SIM</x:v>
      </x:c>
      <x:c r="W119" t="str">
        <x:v>L&amp;N</x:v>
      </x:c>
      <x:c r="X119" s="12" t="str">
        <x:v>PERCENTUAL</x:v>
      </x:c>
      <x:c r="Y119" s="12"/>
      <x:c r="Z119" s="12" t="str">
        <x:v>2.6.44</x:v>
      </x:c>
      <x:c r="AA119" s="12" t="str">
        <x:v>Frete base × percentual; aplicar frete mínimo quando maior. Bloco percentual ativado; controle visual passivo.</x:v>
      </x:c>
    </x:row>
    <x:row r="120">
      <x:c r="A120" s="14" t="str">
        <x:v>REG_0119</x:v>
      </x:c>
      <x:c r="B120" s="14" t="str">
        <x:v>LN</x:v>
      </x:c>
      <x:c r="C120" s="14" t="str">
        <x:v>ALT</x:v>
      </x:c>
      <x:c r="D120" s="14" t="str">
        <x:v>Uruará</x:v>
      </x:c>
      <x:c r="E120" s="14" t="str">
        <x:v>PA</x:v>
      </x:c>
      <x:c r="F120" s="14" t="str">
        <x:v>30%</x:v>
      </x:c>
      <x:c r="G120" s="14" t="n">
        <x:v>100</x:v>
      </x:c>
      <x:c r="H120" s="14" t="str">
        <x:v>D+7/D+8</x:v>
      </x:c>
      <x:c r="I120" s="14" t="str">
        <x:v>doc20620720260704143045.pdf</x:v>
      </x:c>
      <x:c r="J120" s="14" t="str">
        <x:v>1</x:v>
      </x:c>
      <x:c r="K120" s="14" t="str">
        <x:v>REVISAR_OK</x:v>
      </x:c>
      <x:c r="L120"/>
      <x:c r="M120"/>
      <x:c r="N120"/>
      <x:c r="O120"/>
      <x:c r="P120"/>
      <x:c r="Q120"/>
      <x:c r="R120"/>
      <x:c r="S120"/>
      <x:c r="T120"/>
      <x:c r="U120"/>
      <x:c r="V120" t="str">
        <x:v>SIM</x:v>
      </x:c>
      <x:c r="W120" t="str">
        <x:v>L&amp;N</x:v>
      </x:c>
      <x:c r="X120" s="12" t="str">
        <x:v>PERCENTUAL</x:v>
      </x:c>
      <x:c r="Y120" s="12"/>
      <x:c r="Z120" s="12" t="str">
        <x:v>2.6.44</x:v>
      </x:c>
      <x:c r="AA120" s="12" t="str">
        <x:v>Frete base × percentual; aplicar frete mínimo quando maior. Bloco percentual ativado; controle visual passivo.</x:v>
      </x:c>
    </x:row>
    <x:row r="121">
      <x:c r="A121" s="14" t="str">
        <x:v>REG_0120</x:v>
      </x:c>
      <x:c r="B121" s="14" t="str">
        <x:v>LN</x:v>
      </x:c>
      <x:c r="C121" s="14" t="str">
        <x:v>ALT</x:v>
      </x:c>
      <x:c r="D121" s="14" t="str">
        <x:v>Vitória do Xingu</x:v>
      </x:c>
      <x:c r="E121" s="14" t="str">
        <x:v>PA</x:v>
      </x:c>
      <x:c r="F121" s="14" t="str">
        <x:v>30%</x:v>
      </x:c>
      <x:c r="G121" s="14" t="n">
        <x:v>100</x:v>
      </x:c>
      <x:c r="H121" s="14" t="str">
        <x:v>D+7/D+8</x:v>
      </x:c>
      <x:c r="I121" s="14" t="str">
        <x:v>doc20620720260704143045.pdf</x:v>
      </x:c>
      <x:c r="J121" s="14" t="str">
        <x:v>1</x:v>
      </x:c>
      <x:c r="K121" s="14" t="str">
        <x:v>REVISAR_OK</x:v>
      </x:c>
      <x:c r="L121"/>
      <x:c r="M121"/>
      <x:c r="N121"/>
      <x:c r="O121"/>
      <x:c r="P121"/>
      <x:c r="Q121"/>
      <x:c r="R121"/>
      <x:c r="S121"/>
      <x:c r="T121"/>
      <x:c r="U121"/>
      <x:c r="V121" t="str">
        <x:v>SIM</x:v>
      </x:c>
      <x:c r="W121" t="str">
        <x:v>L&amp;N</x:v>
      </x:c>
      <x:c r="X121" s="12" t="str">
        <x:v>PERCENTUAL</x:v>
      </x:c>
      <x:c r="Y121" s="12"/>
      <x:c r="Z121" s="12" t="str">
        <x:v>2.6.44</x:v>
      </x:c>
      <x:c r="AA121" s="12" t="str">
        <x:v>Frete base × percentual; aplicar frete mínimo quando maior. Bloco percentual ativado; controle visual passivo.</x:v>
      </x:c>
    </x:row>
    <x:row r="122">
      <x:c r="A122" s="14" t="str">
        <x:v>REG_0121</x:v>
      </x:c>
      <x:c r="B122" s="14" t="str">
        <x:v>LN</x:v>
      </x:c>
      <x:c r="C122" s="14" t="str">
        <x:v>STM</x:v>
      </x:c>
      <x:c r="D122" s="14" t="str">
        <x:v>Santarém</x:v>
      </x:c>
      <x:c r="E122" s="14" t="str">
        <x:v>PA</x:v>
      </x:c>
      <x:c r="F122" s="14" t="str">
        <x:v>50%</x:v>
      </x:c>
      <x:c r="G122" s="14" t="n">
        <x:v>180</x:v>
      </x:c>
      <x:c r="H122" s="14" t="str">
        <x:v>D+10</x:v>
      </x:c>
      <x:c r="I122" s="14" t="str">
        <x:v>doc20620720260704143045.pdf</x:v>
      </x:c>
      <x:c r="J122" s="14" t="str">
        <x:v>1</x:v>
      </x:c>
      <x:c r="K122" s="14" t="str">
        <x:v>REVISAR_OK</x:v>
      </x:c>
      <x:c r="L122"/>
      <x:c r="M122"/>
      <x:c r="N122"/>
      <x:c r="O122"/>
      <x:c r="P122"/>
      <x:c r="Q122"/>
      <x:c r="R122"/>
      <x:c r="S122"/>
      <x:c r="T122"/>
      <x:c r="U122"/>
      <x:c r="V122" t="str">
        <x:v>SIM</x:v>
      </x:c>
      <x:c r="W122" t="str">
        <x:v>L&amp;N</x:v>
      </x:c>
      <x:c r="X122" s="12" t="str">
        <x:v>PERCENTUAL</x:v>
      </x:c>
      <x:c r="Y122" s="12"/>
      <x:c r="Z122" s="12" t="str">
        <x:v>2.6.44</x:v>
      </x:c>
      <x:c r="AA122" s="12" t="str">
        <x:v>Frete base × percentual; aplicar frete mínimo quando maior. Bloco percentual ativado; controle visual passivo.</x:v>
      </x:c>
    </x:row>
    <x:row r="123">
      <x:c r="A123" s="14" t="str">
        <x:v>REG_0122</x:v>
      </x:c>
      <x:c r="B123" s="14" t="str">
        <x:v>GN_NORTE</x:v>
      </x:c>
      <x:c r="C123" s="14" t="str">
        <x:v>POLO</x:v>
      </x:c>
      <x:c r="D123" s="14" t="str">
        <x:v>Santarém</x:v>
      </x:c>
      <x:c r="E123" s="14" t="str">
        <x:v>PA</x:v>
      </x:c>
      <x:c r="F123" s="14" t="str">
        <x:v>20%</x:v>
      </x:c>
      <x:c r="G123" s="14"/>
      <x:c r="H123" s="14" t="str">
        <x:v>D+2</x:v>
      </x:c>
      <x:c r="I123" s="14" t="str">
        <x:v>doc20620820260704143103.pdf</x:v>
      </x:c>
      <x:c r="J123" s="14" t="str">
        <x:v>1</x:v>
      </x:c>
      <x:c r="K123" s="14" t="str">
        <x:v>REVISAR_OK</x:v>
      </x:c>
      <x:c r="L123"/>
      <x:c r="M123"/>
      <x:c r="N123"/>
      <x:c r="O123"/>
      <x:c r="P123"/>
      <x:c r="Q123"/>
      <x:c r="R123"/>
      <x:c r="S123"/>
      <x:c r="T123"/>
      <x:c r="U123"/>
      <x:c r="V123" t="str">
        <x:v>SIM</x:v>
      </x:c>
      <x:c r="W123" t="str">
        <x:v>GN</x:v>
      </x:c>
      <x:c r="X123" s="12" t="str">
        <x:v>PERCENTUAL</x:v>
      </x:c>
      <x:c r="Y123" s="12"/>
      <x:c r="Z123" s="12" t="str">
        <x:v>2.6.44</x:v>
      </x:c>
      <x:c r="AA123" s="12" t="str">
        <x:v>Frete base × percentual; aplicar frete mínimo quando maior. Bloco percentual ativado; controle visual passivo.</x:v>
      </x:c>
    </x:row>
    <x:row r="124">
      <x:c r="A124" s="14" t="str">
        <x:v>REG_0123</x:v>
      </x:c>
      <x:c r="B124" s="14" t="str">
        <x:v>GN_NORTE</x:v>
      </x:c>
      <x:c r="C124" s="14" t="str">
        <x:v>REGIÃO</x:v>
      </x:c>
      <x:c r="D124" s="14" t="str">
        <x:v>Itaituba</x:v>
      </x:c>
      <x:c r="E124" s="14" t="str">
        <x:v>PA</x:v>
      </x:c>
      <x:c r="F124" s="14" t="str">
        <x:v>35%</x:v>
      </x:c>
      <x:c r="G124" s="14"/>
      <x:c r="H124" s="14" t="str">
        <x:v>D+4</x:v>
      </x:c>
      <x:c r="I124" s="14" t="str">
        <x:v>doc20620820260704143103.pdf</x:v>
      </x:c>
      <x:c r="J124" s="14" t="str">
        <x:v>1</x:v>
      </x:c>
      <x:c r="K124" s="14" t="str">
        <x:v>REVISAR_OK</x:v>
      </x:c>
      <x:c r="L124"/>
      <x:c r="M124"/>
      <x:c r="N124"/>
      <x:c r="O124"/>
      <x:c r="P124"/>
      <x:c r="Q124"/>
      <x:c r="R124"/>
      <x:c r="S124"/>
      <x:c r="T124"/>
      <x:c r="U124"/>
      <x:c r="V124" t="str">
        <x:v>SIM</x:v>
      </x:c>
      <x:c r="W124" t="str">
        <x:v>GN</x:v>
      </x:c>
      <x:c r="X124" s="12" t="str">
        <x:v>PERCENTUAL</x:v>
      </x:c>
      <x:c r="Y124" s="12"/>
      <x:c r="Z124" s="12" t="str">
        <x:v>2.6.44</x:v>
      </x:c>
      <x:c r="AA124" s="12" t="str">
        <x:v>Frete base × percentual; aplicar frete mínimo quando maior. Bloco percentual ativado; controle visual passivo.</x:v>
      </x:c>
    </x:row>
    <x:row r="125">
      <x:c r="A125" s="14" t="str">
        <x:v>REG_0124</x:v>
      </x:c>
      <x:c r="B125" s="14" t="str">
        <x:v>GN_NORTE</x:v>
      </x:c>
      <x:c r="C125" s="14" t="str">
        <x:v>REGIÃO</x:v>
      </x:c>
      <x:c r="D125" s="14" t="str">
        <x:v>Cachoeira da Serra</x:v>
      </x:c>
      <x:c r="E125" s="14" t="str">
        <x:v>PA</x:v>
      </x:c>
      <x:c r="F125" s="14" t="str">
        <x:v>35%</x:v>
      </x:c>
      <x:c r="G125" s="14"/>
      <x:c r="H125" s="14" t="str">
        <x:v>D+4</x:v>
      </x:c>
      <x:c r="I125" s="14" t="str">
        <x:v>doc20620820260704143103.pdf</x:v>
      </x:c>
      <x:c r="J125" s="14" t="str">
        <x:v>1</x:v>
      </x:c>
      <x:c r="K125" s="14" t="str">
        <x:v>REVISAR_OK</x:v>
      </x:c>
      <x:c r="L125"/>
      <x:c r="M125"/>
      <x:c r="N125"/>
      <x:c r="O125"/>
      <x:c r="P125"/>
      <x:c r="Q125"/>
      <x:c r="R125"/>
      <x:c r="S125"/>
      <x:c r="T125"/>
      <x:c r="U125"/>
      <x:c r="V125" t="str">
        <x:v>SIM</x:v>
      </x:c>
      <x:c r="W125" t="str">
        <x:v>GN</x:v>
      </x:c>
      <x:c r="X125" s="12" t="str">
        <x:v>PERCENTUAL</x:v>
      </x:c>
      <x:c r="Y125" s="12"/>
      <x:c r="Z125" s="12" t="str">
        <x:v>2.6.44</x:v>
      </x:c>
      <x:c r="AA125" s="12" t="str">
        <x:v>Frete base × percentual; aplicar frete mínimo quando maior. Bloco percentual ativado; controle visual passivo.</x:v>
      </x:c>
    </x:row>
    <x:row r="126">
      <x:c r="A126" s="14" t="str">
        <x:v>REG_0125</x:v>
      </x:c>
      <x:c r="B126" s="14" t="str">
        <x:v>GN_NORTE</x:v>
      </x:c>
      <x:c r="C126" s="14" t="str">
        <x:v>REGIÃO</x:v>
      </x:c>
      <x:c r="D126" s="14" t="str">
        <x:v>Castelo dos Sonhos</x:v>
      </x:c>
      <x:c r="E126" s="14" t="str">
        <x:v>PA</x:v>
      </x:c>
      <x:c r="F126" s="14" t="str">
        <x:v>35%</x:v>
      </x:c>
      <x:c r="G126" s="14"/>
      <x:c r="H126" s="14" t="str">
        <x:v>D+4</x:v>
      </x:c>
      <x:c r="I126" s="14" t="str">
        <x:v>doc20620820260704143103.pdf</x:v>
      </x:c>
      <x:c r="J126" s="14" t="str">
        <x:v>1</x:v>
      </x:c>
      <x:c r="K126" s="14" t="str">
        <x:v>REVISAR_OK</x:v>
      </x:c>
      <x:c r="L126"/>
      <x:c r="M126"/>
      <x:c r="N126"/>
      <x:c r="O126"/>
      <x:c r="P126"/>
      <x:c r="Q126"/>
      <x:c r="R126"/>
      <x:c r="S126"/>
      <x:c r="T126"/>
      <x:c r="U126"/>
      <x:c r="V126" t="str">
        <x:v>SIM</x:v>
      </x:c>
      <x:c r="W126" t="str">
        <x:v>GN</x:v>
      </x:c>
      <x:c r="X126" s="12" t="str">
        <x:v>PERCENTUAL</x:v>
      </x:c>
      <x:c r="Y126" s="12"/>
      <x:c r="Z126" s="12" t="str">
        <x:v>2.6.44</x:v>
      </x:c>
      <x:c r="AA126" s="12" t="str">
        <x:v>Frete base × percentual; aplicar frete mínimo quando maior. Bloco percentual ativado; controle visual passivo.</x:v>
      </x:c>
    </x:row>
    <x:row r="127">
      <x:c r="A127" s="14" t="str">
        <x:v>REG_0126</x:v>
      </x:c>
      <x:c r="B127" s="14" t="str">
        <x:v>GN_NORTE</x:v>
      </x:c>
      <x:c r="C127" s="14" t="str">
        <x:v>REGIÃO</x:v>
      </x:c>
      <x:c r="D127" s="14" t="str">
        <x:v>Novo Progresso</x:v>
      </x:c>
      <x:c r="E127" s="14" t="str">
        <x:v>PA</x:v>
      </x:c>
      <x:c r="F127" s="14" t="str">
        <x:v>35%</x:v>
      </x:c>
      <x:c r="G127" s="14"/>
      <x:c r="H127" s="14" t="str">
        <x:v>D+4</x:v>
      </x:c>
      <x:c r="I127" s="14" t="str">
        <x:v>doc20620820260704143103.pdf</x:v>
      </x:c>
      <x:c r="J127" s="14" t="str">
        <x:v>1</x:v>
      </x:c>
      <x:c r="K127" s="14" t="str">
        <x:v>REVISAR_OK</x:v>
      </x:c>
      <x:c r="L127"/>
      <x:c r="M127"/>
      <x:c r="N127"/>
      <x:c r="O127"/>
      <x:c r="P127"/>
      <x:c r="Q127"/>
      <x:c r="R127"/>
      <x:c r="S127"/>
      <x:c r="T127"/>
      <x:c r="U127"/>
      <x:c r="V127" t="str">
        <x:v>SIM</x:v>
      </x:c>
      <x:c r="W127" t="str">
        <x:v>GN</x:v>
      </x:c>
      <x:c r="X127" s="12" t="str">
        <x:v>PERCENTUAL</x:v>
      </x:c>
      <x:c r="Y127" s="12"/>
      <x:c r="Z127" s="12" t="str">
        <x:v>2.6.44</x:v>
      </x:c>
      <x:c r="AA127" s="12" t="str">
        <x:v>Frete base × percentual; aplicar frete mínimo quando maior. Bloco percentual ativado; controle visual passivo.</x:v>
      </x:c>
    </x:row>
    <x:row r="128">
      <x:c r="A128" s="14" t="str">
        <x:v>REG_0127</x:v>
      </x:c>
      <x:c r="B128" s="14" t="str">
        <x:v>GN_NORTE</x:v>
      </x:c>
      <x:c r="C128" s="14" t="str">
        <x:v>REGIÃO</x:v>
      </x:c>
      <x:c r="D128" s="14" t="str">
        <x:v>Trairão</x:v>
      </x:c>
      <x:c r="E128" s="14" t="str">
        <x:v>PA</x:v>
      </x:c>
      <x:c r="F128" s="14" t="str">
        <x:v>35%</x:v>
      </x:c>
      <x:c r="G128" s="14"/>
      <x:c r="H128" s="14" t="str">
        <x:v>D+4</x:v>
      </x:c>
      <x:c r="I128" s="14" t="str">
        <x:v>doc20620820260704143103.pdf</x:v>
      </x:c>
      <x:c r="J128" s="14" t="str">
        <x:v>1</x:v>
      </x:c>
      <x:c r="K128" s="14" t="str">
        <x:v>REVISAR_OK</x:v>
      </x:c>
      <x:c r="L128"/>
      <x:c r="M128"/>
      <x:c r="N128"/>
      <x:c r="O128"/>
      <x:c r="P128"/>
      <x:c r="Q128"/>
      <x:c r="R128"/>
      <x:c r="S128"/>
      <x:c r="T128"/>
      <x:c r="U128"/>
      <x:c r="V128" t="str">
        <x:v>SIM</x:v>
      </x:c>
      <x:c r="W128" t="str">
        <x:v>GN</x:v>
      </x:c>
      <x:c r="X128" s="12" t="str">
        <x:v>PERCENTUAL</x:v>
      </x:c>
      <x:c r="Y128" s="12"/>
      <x:c r="Z128" s="12" t="str">
        <x:v>2.6.44</x:v>
      </x:c>
      <x:c r="AA128" s="12" t="str">
        <x:v>Frete base × percentual; aplicar frete mínimo quando maior. Bloco percentual ativado; controle visual passivo.</x:v>
      </x:c>
    </x:row>
    <x:row r="129">
      <x:c r="A129" s="14" t="str">
        <x:v>REG_0128</x:v>
      </x:c>
      <x:c r="B129" s="14" t="str">
        <x:v>GN_NORTE</x:v>
      </x:c>
      <x:c r="C129" s="14" t="str">
        <x:v>REGIÃO</x:v>
      </x:c>
      <x:c r="D129" s="14" t="str">
        <x:v>Rurópolis</x:v>
      </x:c>
      <x:c r="E129" s="14" t="str">
        <x:v>PA</x:v>
      </x:c>
      <x:c r="F129" s="14" t="str">
        <x:v>35%</x:v>
      </x:c>
      <x:c r="G129" s="14"/>
      <x:c r="H129" s="14" t="str">
        <x:v>D+4</x:v>
      </x:c>
      <x:c r="I129" s="14" t="str">
        <x:v>doc20620820260704143103.pdf</x:v>
      </x:c>
      <x:c r="J129" s="14" t="str">
        <x:v>1</x:v>
      </x:c>
      <x:c r="K129" s="14" t="str">
        <x:v>REVISAR_OK</x:v>
      </x:c>
      <x:c r="L129"/>
      <x:c r="M129"/>
      <x:c r="N129"/>
      <x:c r="O129"/>
      <x:c r="P129"/>
      <x:c r="Q129"/>
      <x:c r="R129"/>
      <x:c r="S129"/>
      <x:c r="T129"/>
      <x:c r="U129"/>
      <x:c r="V129" t="str">
        <x:v>SIM</x:v>
      </x:c>
      <x:c r="W129" t="str">
        <x:v>GN</x:v>
      </x:c>
      <x:c r="X129" s="12" t="str">
        <x:v>PERCENTUAL</x:v>
      </x:c>
      <x:c r="Y129" s="12"/>
      <x:c r="Z129" s="12" t="str">
        <x:v>2.6.44</x:v>
      </x:c>
      <x:c r="AA129" s="12" t="str">
        <x:v>Frete base × percentual; aplicar frete mínimo quando maior. Bloco percentual ativado; controle visual passivo.</x:v>
      </x:c>
    </x:row>
    <x:row r="130">
      <x:c r="A130" s="14" t="str">
        <x:v>REG_0129</x:v>
      </x:c>
      <x:c r="B130" s="14" t="str">
        <x:v>GN_NORTE</x:v>
      </x:c>
      <x:c r="C130" s="14" t="str">
        <x:v>REGIÃO</x:v>
      </x:c>
      <x:c r="D130" s="14" t="str">
        <x:v>Mojuí dos Campos</x:v>
      </x:c>
      <x:c r="E130" s="14" t="str">
        <x:v>PA</x:v>
      </x:c>
      <x:c r="F130" s="14" t="str">
        <x:v>35%</x:v>
      </x:c>
      <x:c r="G130" s="14"/>
      <x:c r="H130" s="14" t="str">
        <x:v>D+4</x:v>
      </x:c>
      <x:c r="I130" s="14" t="str">
        <x:v>doc20620820260704143103.pdf</x:v>
      </x:c>
      <x:c r="J130" s="14" t="str">
        <x:v>1</x:v>
      </x:c>
      <x:c r="K130" s="14" t="str">
        <x:v>REVISAR_OK</x:v>
      </x:c>
      <x:c r="L130"/>
      <x:c r="M130"/>
      <x:c r="N130"/>
      <x:c r="O130"/>
      <x:c r="P130"/>
      <x:c r="Q130"/>
      <x:c r="R130"/>
      <x:c r="S130"/>
      <x:c r="T130"/>
      <x:c r="U130"/>
      <x:c r="V130" t="str">
        <x:v>SIM</x:v>
      </x:c>
      <x:c r="W130" t="str">
        <x:v>GN</x:v>
      </x:c>
      <x:c r="X130" s="12" t="str">
        <x:v>PERCENTUAL</x:v>
      </x:c>
      <x:c r="Y130" s="12"/>
      <x:c r="Z130" s="12" t="str">
        <x:v>2.6.44</x:v>
      </x:c>
      <x:c r="AA130" s="12" t="str">
        <x:v>Frete base × percentual; aplicar frete mínimo quando maior. Bloco percentual ativado; controle visual passivo.</x:v>
      </x:c>
    </x:row>
    <x:row r="131">
      <x:c r="A131" s="14" t="str">
        <x:v>REG_0130</x:v>
      </x:c>
      <x:c r="B131" s="14" t="str">
        <x:v>GN_NORTE</x:v>
      </x:c>
      <x:c r="C131" s="14" t="str">
        <x:v>REGIÃO</x:v>
      </x:c>
      <x:c r="D131" s="14" t="str">
        <x:v>Alenquer</x:v>
      </x:c>
      <x:c r="E131" s="14" t="str">
        <x:v>PA</x:v>
      </x:c>
      <x:c r="F131" s="14" t="str">
        <x:v>35%</x:v>
      </x:c>
      <x:c r="G131" s="14"/>
      <x:c r="H131" s="14" t="str">
        <x:v>D+4</x:v>
      </x:c>
      <x:c r="I131" s="14" t="str">
        <x:v>doc20620820260704143103.pdf</x:v>
      </x:c>
      <x:c r="J131" s="14" t="str">
        <x:v>1</x:v>
      </x:c>
      <x:c r="K131" s="14" t="str">
        <x:v>REVISAR_OK</x:v>
      </x:c>
      <x:c r="L131"/>
      <x:c r="M131"/>
      <x:c r="N131"/>
      <x:c r="O131"/>
      <x:c r="P131"/>
      <x:c r="Q131"/>
      <x:c r="R131"/>
      <x:c r="S131"/>
      <x:c r="T131"/>
      <x:c r="U131"/>
      <x:c r="V131" t="str">
        <x:v>SIM</x:v>
      </x:c>
      <x:c r="W131" t="str">
        <x:v>GN</x:v>
      </x:c>
      <x:c r="X131" s="12" t="str">
        <x:v>PERCENTUAL</x:v>
      </x:c>
      <x:c r="Y131" s="12"/>
      <x:c r="Z131" s="12" t="str">
        <x:v>2.6.44</x:v>
      </x:c>
      <x:c r="AA131" s="12" t="str">
        <x:v>Frete base × percentual; aplicar frete mínimo quando maior. Bloco percentual ativado; controle visual passivo.</x:v>
      </x:c>
    </x:row>
    <x:row r="132">
      <x:c r="A132" s="14" t="str">
        <x:v>REG_0131</x:v>
      </x:c>
      <x:c r="B132" s="14" t="str">
        <x:v>GN_NORTE</x:v>
      </x:c>
      <x:c r="C132" s="14" t="str">
        <x:v>REGIÃO</x:v>
      </x:c>
      <x:c r="D132" s="14" t="str">
        <x:v>Óbidos</x:v>
      </x:c>
      <x:c r="E132" s="14" t="str">
        <x:v>PA</x:v>
      </x:c>
      <x:c r="F132" s="14" t="str">
        <x:v>35%</x:v>
      </x:c>
      <x:c r="G132" s="14"/>
      <x:c r="H132" s="14" t="str">
        <x:v>D+4</x:v>
      </x:c>
      <x:c r="I132" s="14" t="str">
        <x:v>doc20620820260704143103.pdf</x:v>
      </x:c>
      <x:c r="J132" s="14" t="str">
        <x:v>1</x:v>
      </x:c>
      <x:c r="K132" s="14" t="str">
        <x:v>REVISAR_OK</x:v>
      </x:c>
      <x:c r="L132"/>
      <x:c r="M132"/>
      <x:c r="N132"/>
      <x:c r="O132"/>
      <x:c r="P132"/>
      <x:c r="Q132"/>
      <x:c r="R132"/>
      <x:c r="S132"/>
      <x:c r="T132"/>
      <x:c r="U132"/>
      <x:c r="V132" t="str">
        <x:v>SIM</x:v>
      </x:c>
      <x:c r="W132" t="str">
        <x:v>GN</x:v>
      </x:c>
      <x:c r="X132" s="12" t="str">
        <x:v>PERCENTUAL</x:v>
      </x:c>
      <x:c r="Y132" s="12"/>
      <x:c r="Z132" s="12" t="str">
        <x:v>2.6.44</x:v>
      </x:c>
      <x:c r="AA132" s="12" t="str">
        <x:v>Frete base × percentual; aplicar frete mínimo quando maior. Bloco percentual ativado; controle visual passivo.</x:v>
      </x:c>
    </x:row>
    <x:row r="133">
      <x:c r="A133" s="14" t="str">
        <x:v>REG_0132</x:v>
      </x:c>
      <x:c r="B133" s="14" t="str">
        <x:v>GN_NORTE</x:v>
      </x:c>
      <x:c r="C133" s="14" t="str">
        <x:v>REGIÃO</x:v>
      </x:c>
      <x:c r="D133" s="14" t="str">
        <x:v>Juruti</x:v>
      </x:c>
      <x:c r="E133" s="14" t="str">
        <x:v>PA</x:v>
      </x:c>
      <x:c r="F133" s="14" t="str">
        <x:v>35%</x:v>
      </x:c>
      <x:c r="G133" s="14"/>
      <x:c r="H133" s="14" t="str">
        <x:v>D+4</x:v>
      </x:c>
      <x:c r="I133" s="14" t="str">
        <x:v>doc20620820260704143103.pdf</x:v>
      </x:c>
      <x:c r="J133" s="14" t="str">
        <x:v>1</x:v>
      </x:c>
      <x:c r="K133" s="14" t="str">
        <x:v>REVISAR_OK</x:v>
      </x:c>
      <x:c r="L133"/>
      <x:c r="M133"/>
      <x:c r="N133"/>
      <x:c r="O133"/>
      <x:c r="P133"/>
      <x:c r="Q133"/>
      <x:c r="R133"/>
      <x:c r="S133"/>
      <x:c r="T133"/>
      <x:c r="U133"/>
      <x:c r="V133" t="str">
        <x:v>SIM</x:v>
      </x:c>
      <x:c r="W133" t="str">
        <x:v>GN</x:v>
      </x:c>
      <x:c r="X133" s="12" t="str">
        <x:v>PERCENTUAL</x:v>
      </x:c>
      <x:c r="Y133" s="12"/>
      <x:c r="Z133" s="12" t="str">
        <x:v>2.6.44</x:v>
      </x:c>
      <x:c r="AA133" s="12" t="str">
        <x:v>Frete base × percentual; aplicar frete mínimo quando maior. Bloco percentual ativado; controle visual passivo.</x:v>
      </x:c>
    </x:row>
    <x:row r="134">
      <x:c r="A134" s="14" t="str">
        <x:v>REG_0133</x:v>
      </x:c>
      <x:c r="B134" s="14" t="str">
        <x:v>GN_NORTE</x:v>
      </x:c>
      <x:c r="C134" s="14" t="str">
        <x:v>REGIÃO</x:v>
      </x:c>
      <x:c r="D134" s="14" t="str">
        <x:v>Oriximiná</x:v>
      </x:c>
      <x:c r="E134" s="14" t="str">
        <x:v>PA</x:v>
      </x:c>
      <x:c r="F134" s="14" t="str">
        <x:v>35%</x:v>
      </x:c>
      <x:c r="G134" s="14"/>
      <x:c r="H134" s="14" t="str">
        <x:v>D+4</x:v>
      </x:c>
      <x:c r="I134" s="14" t="str">
        <x:v>doc20620820260704143103.pdf</x:v>
      </x:c>
      <x:c r="J134" s="14" t="str">
        <x:v>1</x:v>
      </x:c>
      <x:c r="K134" s="14" t="str">
        <x:v>REVISAR_OK</x:v>
      </x:c>
      <x:c r="L134"/>
      <x:c r="M134"/>
      <x:c r="N134"/>
      <x:c r="O134"/>
      <x:c r="P134"/>
      <x:c r="Q134"/>
      <x:c r="R134"/>
      <x:c r="S134"/>
      <x:c r="T134"/>
      <x:c r="U134"/>
      <x:c r="V134" t="str">
        <x:v>SIM</x:v>
      </x:c>
      <x:c r="W134" t="str">
        <x:v>GN</x:v>
      </x:c>
      <x:c r="X134" s="12" t="str">
        <x:v>PERCENTUAL</x:v>
      </x:c>
      <x:c r="Y134" s="12"/>
      <x:c r="Z134" s="12" t="str">
        <x:v>2.6.44</x:v>
      </x:c>
      <x:c r="AA134" s="12" t="str">
        <x:v>Frete base × percentual; aplicar frete mínimo quando maior. Bloco percentual ativado; controle visual passivo.</x:v>
      </x:c>
    </x:row>
    <x:row r="135">
      <x:c r="A135" s="14" t="str">
        <x:v>REG_0134</x:v>
      </x:c>
      <x:c r="B135" s="14" t="str">
        <x:v>GN_NORTE</x:v>
      </x:c>
      <x:c r="C135" s="14" t="str">
        <x:v>REGIÃO</x:v>
      </x:c>
      <x:c r="D135" s="14" t="str">
        <x:v>Altamira</x:v>
      </x:c>
      <x:c r="E135" s="14" t="str">
        <x:v>PA</x:v>
      </x:c>
      <x:c r="F135" s="14" t="str">
        <x:v>35%</x:v>
      </x:c>
      <x:c r="G135" s="14"/>
      <x:c r="H135" s="14" t="str">
        <x:v>D+4</x:v>
      </x:c>
      <x:c r="I135" s="14" t="str">
        <x:v>doc20620820260704143103.pdf</x:v>
      </x:c>
      <x:c r="J135" s="14" t="str">
        <x:v>1</x:v>
      </x:c>
      <x:c r="K135" s="14" t="str">
        <x:v>REVISAR_OK</x:v>
      </x:c>
      <x:c r="L135"/>
      <x:c r="M135"/>
      <x:c r="N135"/>
      <x:c r="O135"/>
      <x:c r="P135"/>
      <x:c r="Q135"/>
      <x:c r="R135"/>
      <x:c r="S135"/>
      <x:c r="T135"/>
      <x:c r="U135"/>
      <x:c r="V135" t="str">
        <x:v>SIM</x:v>
      </x:c>
      <x:c r="W135" t="str">
        <x:v>GN</x:v>
      </x:c>
      <x:c r="X135" s="12" t="str">
        <x:v>PERCENTUAL</x:v>
      </x:c>
      <x:c r="Y135" s="12"/>
      <x:c r="Z135" s="12" t="str">
        <x:v>2.6.44</x:v>
      </x:c>
      <x:c r="AA135" s="12" t="str">
        <x:v>Frete base × percentual; aplicar frete mínimo quando maior. Bloco percentual ativado; controle visual passivo.</x:v>
      </x:c>
    </x:row>
    <x:row r="136">
      <x:c r="A136" s="14" t="str">
        <x:v>REG_0135</x:v>
      </x:c>
      <x:c r="B136" s="14" t="str">
        <x:v>GN_NORTE</x:v>
      </x:c>
      <x:c r="C136" s="14" t="str">
        <x:v>REGIÃO</x:v>
      </x:c>
      <x:c r="D136" s="14" t="str">
        <x:v>Medicilândia</x:v>
      </x:c>
      <x:c r="E136" s="14" t="str">
        <x:v>PA</x:v>
      </x:c>
      <x:c r="F136" s="14" t="str">
        <x:v>35%</x:v>
      </x:c>
      <x:c r="G136" s="14"/>
      <x:c r="H136" s="14" t="str">
        <x:v>D+4</x:v>
      </x:c>
      <x:c r="I136" s="14" t="str">
        <x:v>doc20620820260704143103.pdf</x:v>
      </x:c>
      <x:c r="J136" s="14" t="str">
        <x:v>1</x:v>
      </x:c>
      <x:c r="K136" s="14" t="str">
        <x:v>REVISAR_OK</x:v>
      </x:c>
      <x:c r="L136"/>
      <x:c r="M136"/>
      <x:c r="N136"/>
      <x:c r="O136"/>
      <x:c r="P136"/>
      <x:c r="Q136"/>
      <x:c r="R136"/>
      <x:c r="S136"/>
      <x:c r="T136"/>
      <x:c r="U136"/>
      <x:c r="V136" t="str">
        <x:v>SIM</x:v>
      </x:c>
      <x:c r="W136" t="str">
        <x:v>GN</x:v>
      </x:c>
      <x:c r="X136" s="12" t="str">
        <x:v>PERCENTUAL</x:v>
      </x:c>
      <x:c r="Y136" s="12"/>
      <x:c r="Z136" s="12" t="str">
        <x:v>2.6.44</x:v>
      </x:c>
      <x:c r="AA136" s="12" t="str">
        <x:v>Frete base × percentual; aplicar frete mínimo quando maior. Bloco percentual ativado; controle visual passivo.</x:v>
      </x:c>
    </x:row>
    <x:row r="137">
      <x:c r="A137" s="14" t="str">
        <x:v>REG_0136</x:v>
      </x:c>
      <x:c r="B137" s="14" t="str">
        <x:v>GN_NORTE</x:v>
      </x:c>
      <x:c r="C137" s="14" t="str">
        <x:v>REGIÃO</x:v>
      </x:c>
      <x:c r="D137" s="14" t="str">
        <x:v>Brasil Novo</x:v>
      </x:c>
      <x:c r="E137" s="14" t="str">
        <x:v>PA</x:v>
      </x:c>
      <x:c r="F137" s="14" t="str">
        <x:v>35%</x:v>
      </x:c>
      <x:c r="G137" s="14"/>
      <x:c r="H137" s="14" t="str">
        <x:v>D+4</x:v>
      </x:c>
      <x:c r="I137" s="14" t="str">
        <x:v>doc20620820260704143103.pdf</x:v>
      </x:c>
      <x:c r="J137" s="14" t="str">
        <x:v>1</x:v>
      </x:c>
      <x:c r="K137" s="14" t="str">
        <x:v>REVISAR_OK</x:v>
      </x:c>
      <x:c r="L137"/>
      <x:c r="M137"/>
      <x:c r="N137"/>
      <x:c r="O137"/>
      <x:c r="P137"/>
      <x:c r="Q137"/>
      <x:c r="R137"/>
      <x:c r="S137"/>
      <x:c r="T137"/>
      <x:c r="U137"/>
      <x:c r="V137" t="str">
        <x:v>SIM</x:v>
      </x:c>
      <x:c r="W137" t="str">
        <x:v>GN</x:v>
      </x:c>
      <x:c r="X137" s="12" t="str">
        <x:v>PERCENTUAL</x:v>
      </x:c>
      <x:c r="Y137" s="12"/>
      <x:c r="Z137" s="12" t="str">
        <x:v>2.6.44</x:v>
      </x:c>
      <x:c r="AA137" s="12" t="str">
        <x:v>Frete base × percentual; aplicar frete mínimo quando maior. Bloco percentual ativado; controle visual passivo.</x:v>
      </x:c>
    </x:row>
    <x:row r="138">
      <x:c r="A138" s="14" t="str">
        <x:v>REG_0137</x:v>
      </x:c>
      <x:c r="B138" s="14" t="str">
        <x:v>GN_NORTE</x:v>
      </x:c>
      <x:c r="C138" s="14" t="str">
        <x:v>REGIÃO</x:v>
      </x:c>
      <x:c r="D138" s="14" t="str">
        <x:v>Uruará</x:v>
      </x:c>
      <x:c r="E138" s="14" t="str">
        <x:v>PA</x:v>
      </x:c>
      <x:c r="F138" s="14" t="str">
        <x:v>35%</x:v>
      </x:c>
      <x:c r="G138" s="14"/>
      <x:c r="H138" s="14" t="str">
        <x:v>D+4</x:v>
      </x:c>
      <x:c r="I138" s="14" t="str">
        <x:v>doc20620820260704143103.pdf</x:v>
      </x:c>
      <x:c r="J138" s="14" t="str">
        <x:v>1</x:v>
      </x:c>
      <x:c r="K138" s="14" t="str">
        <x:v>REVISAR_OK</x:v>
      </x:c>
      <x:c r="L138"/>
      <x:c r="M138"/>
      <x:c r="N138"/>
      <x:c r="O138"/>
      <x:c r="P138"/>
      <x:c r="Q138"/>
      <x:c r="R138"/>
      <x:c r="S138"/>
      <x:c r="T138"/>
      <x:c r="U138"/>
      <x:c r="V138" t="str">
        <x:v>SIM</x:v>
      </x:c>
      <x:c r="W138" t="str">
        <x:v>GN</x:v>
      </x:c>
      <x:c r="X138" s="12" t="str">
        <x:v>PERCENTUAL</x:v>
      </x:c>
      <x:c r="Y138" s="12"/>
      <x:c r="Z138" s="12" t="str">
        <x:v>2.6.44</x:v>
      </x:c>
      <x:c r="AA138" s="12" t="str">
        <x:v>Frete base × percentual; aplicar frete mínimo quando maior. Bloco percentual ativado; controle visual passivo.</x:v>
      </x:c>
    </x:row>
    <x:row r="139">
      <x:c r="A139" s="14" t="str">
        <x:v>REG_0138</x:v>
      </x:c>
      <x:c r="B139" s="14" t="str">
        <x:v>GN_NORTE</x:v>
      </x:c>
      <x:c r="C139" s="14" t="str">
        <x:v>INTERIOR 1</x:v>
      </x:c>
      <x:c r="D139" s="14" t="str">
        <x:v>Moraes de Almeida</x:v>
      </x:c>
      <x:c r="E139" s="14" t="str">
        <x:v>PA</x:v>
      </x:c>
      <x:c r="F139" s="14" t="str">
        <x:v>35%</x:v>
      </x:c>
      <x:c r="G139" s="14"/>
      <x:c r="H139" s="14" t="str">
        <x:v>D+6</x:v>
      </x:c>
      <x:c r="I139" s="14" t="str">
        <x:v>doc20620820260704143103.pdf</x:v>
      </x:c>
      <x:c r="J139" s="14" t="str">
        <x:v>1</x:v>
      </x:c>
      <x:c r="K139" s="14" t="str">
        <x:v>REVISAR_OK</x:v>
      </x:c>
      <x:c r="L139"/>
      <x:c r="M139"/>
      <x:c r="N139"/>
      <x:c r="O139"/>
      <x:c r="P139"/>
      <x:c r="Q139"/>
      <x:c r="R139"/>
      <x:c r="S139"/>
      <x:c r="T139"/>
      <x:c r="U139"/>
      <x:c r="V139" t="str">
        <x:v>SIM</x:v>
      </x:c>
      <x:c r="W139" t="str">
        <x:v>GN</x:v>
      </x:c>
      <x:c r="X139" s="12" t="str">
        <x:v>PERCENTUAL</x:v>
      </x:c>
      <x:c r="Y139" s="12"/>
      <x:c r="Z139" s="12" t="str">
        <x:v>2.6.44</x:v>
      </x:c>
      <x:c r="AA139" s="12" t="str">
        <x:v>Frete base × percentual; aplicar frete mínimo quando maior. Bloco percentual ativado; controle visual passivo.</x:v>
      </x:c>
    </x:row>
    <x:row r="140">
      <x:c r="A140" s="14" t="str">
        <x:v>REG_0139</x:v>
      </x:c>
      <x:c r="B140" s="14" t="str">
        <x:v>GN_NORTE</x:v>
      </x:c>
      <x:c r="C140" s="14" t="str">
        <x:v>INTERIOR 1</x:v>
      </x:c>
      <x:c r="D140" s="14" t="str">
        <x:v>Bela Vista do Caracol</x:v>
      </x:c>
      <x:c r="E140" s="14" t="str">
        <x:v>PA</x:v>
      </x:c>
      <x:c r="F140" s="14" t="str">
        <x:v>35%</x:v>
      </x:c>
      <x:c r="G140" s="14"/>
      <x:c r="H140" s="14" t="str">
        <x:v>D+6</x:v>
      </x:c>
      <x:c r="I140" s="14" t="str">
        <x:v>doc20620820260704143103.pdf</x:v>
      </x:c>
      <x:c r="J140" s="14" t="str">
        <x:v>1</x:v>
      </x:c>
      <x:c r="K140" s="14" t="str">
        <x:v>REVISAR_OK</x:v>
      </x:c>
      <x:c r="L140"/>
      <x:c r="M140"/>
      <x:c r="N140"/>
      <x:c r="O140"/>
      <x:c r="P140"/>
      <x:c r="Q140"/>
      <x:c r="R140"/>
      <x:c r="S140"/>
      <x:c r="T140"/>
      <x:c r="U140"/>
      <x:c r="V140" t="str">
        <x:v>SIM</x:v>
      </x:c>
      <x:c r="W140" t="str">
        <x:v>GN</x:v>
      </x:c>
      <x:c r="X140" s="12" t="str">
        <x:v>PERCENTUAL</x:v>
      </x:c>
      <x:c r="Y140" s="12"/>
      <x:c r="Z140" s="12" t="str">
        <x:v>2.6.44</x:v>
      </x:c>
      <x:c r="AA140" s="12" t="str">
        <x:v>Frete base × percentual; aplicar frete mínimo quando maior. Bloco percentual ativado; controle visual passivo.</x:v>
      </x:c>
    </x:row>
    <x:row r="141">
      <x:c r="A141" s="14" t="str">
        <x:v>REG_0140</x:v>
      </x:c>
      <x:c r="B141" s="14" t="str">
        <x:v>GN_NORTE</x:v>
      </x:c>
      <x:c r="C141" s="14" t="str">
        <x:v>INTERIOR 1</x:v>
      </x:c>
      <x:c r="D141" s="14" t="str">
        <x:v>Miritituba</x:v>
      </x:c>
      <x:c r="E141" s="14" t="str">
        <x:v>PA</x:v>
      </x:c>
      <x:c r="F141" s="14" t="str">
        <x:v>35%</x:v>
      </x:c>
      <x:c r="G141" s="14"/>
      <x:c r="H141" s="14" t="str">
        <x:v>D+6</x:v>
      </x:c>
      <x:c r="I141" s="14" t="str">
        <x:v>doc20620820260704143103.pdf</x:v>
      </x:c>
      <x:c r="J141" s="14" t="str">
        <x:v>1</x:v>
      </x:c>
      <x:c r="K141" s="14" t="str">
        <x:v>REVISAR_OK</x:v>
      </x:c>
      <x:c r="L141"/>
      <x:c r="M141"/>
      <x:c r="N141"/>
      <x:c r="O141"/>
      <x:c r="P141"/>
      <x:c r="Q141"/>
      <x:c r="R141"/>
      <x:c r="S141"/>
      <x:c r="T141"/>
      <x:c r="U141"/>
      <x:c r="V141" t="str">
        <x:v>SIM</x:v>
      </x:c>
      <x:c r="W141" t="str">
        <x:v>GN</x:v>
      </x:c>
      <x:c r="X141" s="12" t="str">
        <x:v>PERCENTUAL</x:v>
      </x:c>
      <x:c r="Y141" s="12"/>
      <x:c r="Z141" s="12" t="str">
        <x:v>2.6.44</x:v>
      </x:c>
      <x:c r="AA141" s="12" t="str">
        <x:v>Frete base × percentual; aplicar frete mínimo quando maior. Bloco percentual ativado; controle visual passivo.</x:v>
      </x:c>
    </x:row>
    <x:row r="142">
      <x:c r="A142" s="14" t="str">
        <x:v>REG_0141</x:v>
      </x:c>
      <x:c r="B142" s="14" t="str">
        <x:v>GN_NORTE</x:v>
      </x:c>
      <x:c r="C142" s="14" t="str">
        <x:v>INTERIOR 1</x:v>
      </x:c>
      <x:c r="D142" s="14" t="str">
        <x:v>Placas</x:v>
      </x:c>
      <x:c r="E142" s="14" t="str">
        <x:v>PA</x:v>
      </x:c>
      <x:c r="F142" s="14" t="str">
        <x:v>35%</x:v>
      </x:c>
      <x:c r="G142" s="14"/>
      <x:c r="H142" s="14" t="str">
        <x:v>D+6</x:v>
      </x:c>
      <x:c r="I142" s="14" t="str">
        <x:v>doc20620820260704143103.pdf</x:v>
      </x:c>
      <x:c r="J142" s="14" t="str">
        <x:v>1</x:v>
      </x:c>
      <x:c r="K142" s="14" t="str">
        <x:v>REVISAR_OK</x:v>
      </x:c>
      <x:c r="L142"/>
      <x:c r="M142"/>
      <x:c r="N142"/>
      <x:c r="O142"/>
      <x:c r="P142"/>
      <x:c r="Q142"/>
      <x:c r="R142"/>
      <x:c r="S142"/>
      <x:c r="T142"/>
      <x:c r="U142"/>
      <x:c r="V142" t="str">
        <x:v>SIM</x:v>
      </x:c>
      <x:c r="W142" t="str">
        <x:v>GN</x:v>
      </x:c>
      <x:c r="X142" s="12" t="str">
        <x:v>PERCENTUAL</x:v>
      </x:c>
      <x:c r="Y142" s="12"/>
      <x:c r="Z142" s="12" t="str">
        <x:v>2.6.44</x:v>
      </x:c>
      <x:c r="AA142" s="12" t="str">
        <x:v>Frete base × percentual; aplicar frete mínimo quando maior. Bloco percentual ativado; controle visual passivo.</x:v>
      </x:c>
    </x:row>
    <x:row r="143">
      <x:c r="A143" s="14" t="str">
        <x:v>REG_0142</x:v>
      </x:c>
      <x:c r="B143" s="14" t="str">
        <x:v>GN_NORTE</x:v>
      </x:c>
      <x:c r="C143" s="14" t="str">
        <x:v>INTERIOR 1</x:v>
      </x:c>
      <x:c r="D143" s="14" t="str">
        <x:v>Campo Verde</x:v>
      </x:c>
      <x:c r="E143" s="14" t="str">
        <x:v>PA</x:v>
      </x:c>
      <x:c r="F143" s="14" t="str">
        <x:v>35%</x:v>
      </x:c>
      <x:c r="G143" s="14"/>
      <x:c r="H143" s="14" t="str">
        <x:v>D+6</x:v>
      </x:c>
      <x:c r="I143" s="14" t="str">
        <x:v>doc20620820260704143103.pdf</x:v>
      </x:c>
      <x:c r="J143" s="14" t="str">
        <x:v>1</x:v>
      </x:c>
      <x:c r="K143" s="14" t="str">
        <x:v>REVISAR_OK</x:v>
      </x:c>
      <x:c r="L143"/>
      <x:c r="M143"/>
      <x:c r="N143"/>
      <x:c r="O143"/>
      <x:c r="P143"/>
      <x:c r="Q143"/>
      <x:c r="R143"/>
      <x:c r="S143"/>
      <x:c r="T143"/>
      <x:c r="U143"/>
      <x:c r="V143" t="str">
        <x:v>SIM</x:v>
      </x:c>
      <x:c r="W143" t="str">
        <x:v>GN</x:v>
      </x:c>
      <x:c r="X143" s="12" t="str">
        <x:v>PERCENTUAL</x:v>
      </x:c>
      <x:c r="Y143" s="12"/>
      <x:c r="Z143" s="12" t="str">
        <x:v>2.6.44</x:v>
      </x:c>
      <x:c r="AA143" s="12" t="str">
        <x:v>Frete base × percentual; aplicar frete mínimo quando maior. Bloco percentual ativado; controle visual passivo.</x:v>
      </x:c>
    </x:row>
    <x:row r="144">
      <x:c r="A144" s="14" t="str">
        <x:v>REG_0143</x:v>
      </x:c>
      <x:c r="B144" s="14" t="str">
        <x:v>GN_NORTE</x:v>
      </x:c>
      <x:c r="C144" s="14" t="str">
        <x:v>INTERIOR 1</x:v>
      </x:c>
      <x:c r="D144" s="14" t="str">
        <x:v>km30</x:v>
      </x:c>
      <x:c r="E144" s="14" t="str">
        <x:v>PA</x:v>
      </x:c>
      <x:c r="F144" s="14" t="str">
        <x:v>35%</x:v>
      </x:c>
      <x:c r="G144" s="14"/>
      <x:c r="H144" s="14" t="str">
        <x:v>D+6</x:v>
      </x:c>
      <x:c r="I144" s="14" t="str">
        <x:v>doc20620820260704143103.pdf</x:v>
      </x:c>
      <x:c r="J144" s="14" t="str">
        <x:v>1</x:v>
      </x:c>
      <x:c r="K144" s="14" t="str">
        <x:v>REVISAR_OK</x:v>
      </x:c>
      <x:c r="L144"/>
      <x:c r="M144"/>
      <x:c r="N144"/>
      <x:c r="O144"/>
      <x:c r="P144"/>
      <x:c r="Q144"/>
      <x:c r="R144"/>
      <x:c r="S144"/>
      <x:c r="T144"/>
      <x:c r="U144"/>
      <x:c r="V144" t="str">
        <x:v>SIM</x:v>
      </x:c>
      <x:c r="W144" t="str">
        <x:v>GN</x:v>
      </x:c>
      <x:c r="X144" s="12" t="str">
        <x:v>PERCENTUAL</x:v>
      </x:c>
      <x:c r="Y144" s="12"/>
      <x:c r="Z144" s="12" t="str">
        <x:v>2.6.44</x:v>
      </x:c>
      <x:c r="AA144" s="12" t="str">
        <x:v>Frete base × percentual; aplicar frete mínimo quando maior. Bloco percentual ativado; controle visual passivo.</x:v>
      </x:c>
    </x:row>
    <x:row r="145">
      <x:c r="A145" s="14" t="str">
        <x:v>REG_0144</x:v>
      </x:c>
      <x:c r="B145" s="14" t="str">
        <x:v>GN_NORTE</x:v>
      </x:c>
      <x:c r="C145" s="14" t="str">
        <x:v>INTERIOR 1</x:v>
      </x:c>
      <x:c r="D145" s="14" t="str">
        <x:v>km40</x:v>
      </x:c>
      <x:c r="E145" s="14" t="str">
        <x:v>PA</x:v>
      </x:c>
      <x:c r="F145" s="14" t="str">
        <x:v>35%</x:v>
      </x:c>
      <x:c r="G145" s="14"/>
      <x:c r="H145" s="14" t="str">
        <x:v>D+6</x:v>
      </x:c>
      <x:c r="I145" s="14" t="str">
        <x:v>doc20620820260704143103.pdf</x:v>
      </x:c>
      <x:c r="J145" s="14" t="str">
        <x:v>1</x:v>
      </x:c>
      <x:c r="K145" s="14" t="str">
        <x:v>REVISAR_OK</x:v>
      </x:c>
      <x:c r="L145"/>
      <x:c r="M145"/>
      <x:c r="N145"/>
      <x:c r="O145"/>
      <x:c r="P145"/>
      <x:c r="Q145"/>
      <x:c r="R145"/>
      <x:c r="S145"/>
      <x:c r="T145"/>
      <x:c r="U145"/>
      <x:c r="V145" t="str">
        <x:v>SIM</x:v>
      </x:c>
      <x:c r="W145" t="str">
        <x:v>GN</x:v>
      </x:c>
      <x:c r="X145" s="12" t="str">
        <x:v>PERCENTUAL</x:v>
      </x:c>
      <x:c r="Y145" s="12"/>
      <x:c r="Z145" s="12" t="str">
        <x:v>2.6.44</x:v>
      </x:c>
      <x:c r="AA145" s="12" t="str">
        <x:v>Frete base × percentual; aplicar frete mínimo quando maior. Bloco percentual ativado; controle visual passivo.</x:v>
      </x:c>
    </x:row>
    <x:row r="146">
      <x:c r="A146" s="14" t="str">
        <x:v>REG_0145</x:v>
      </x:c>
      <x:c r="B146" s="14" t="str">
        <x:v>GN_NORTE</x:v>
      </x:c>
      <x:c r="C146" s="14" t="str">
        <x:v>INTERIOR 1</x:v>
      </x:c>
      <x:c r="D146" s="14" t="str">
        <x:v>km50</x:v>
      </x:c>
      <x:c r="E146" s="14" t="str">
        <x:v>PA</x:v>
      </x:c>
      <x:c r="F146" s="14" t="str">
        <x:v>35%</x:v>
      </x:c>
      <x:c r="G146" s="14"/>
      <x:c r="H146" s="14" t="str">
        <x:v>D+6</x:v>
      </x:c>
      <x:c r="I146" s="14" t="str">
        <x:v>doc20620820260704143103.pdf</x:v>
      </x:c>
      <x:c r="J146" s="14" t="str">
        <x:v>1</x:v>
      </x:c>
      <x:c r="K146" s="14" t="str">
        <x:v>REVISAR_OK</x:v>
      </x:c>
      <x:c r="L146"/>
      <x:c r="M146"/>
      <x:c r="N146"/>
      <x:c r="O146"/>
      <x:c r="P146"/>
      <x:c r="Q146"/>
      <x:c r="R146"/>
      <x:c r="S146"/>
      <x:c r="T146"/>
      <x:c r="U146"/>
      <x:c r="V146" t="str">
        <x:v>SIM</x:v>
      </x:c>
      <x:c r="W146" t="str">
        <x:v>GN</x:v>
      </x:c>
      <x:c r="X146" s="12" t="str">
        <x:v>PERCENTUAL</x:v>
      </x:c>
      <x:c r="Y146" s="12"/>
      <x:c r="Z146" s="12" t="str">
        <x:v>2.6.44</x:v>
      </x:c>
      <x:c r="AA146" s="12" t="str">
        <x:v>Frete base × percentual; aplicar frete mínimo quando maior. Bloco percentual ativado; controle visual passivo.</x:v>
      </x:c>
    </x:row>
    <x:row r="147">
      <x:c r="A147" s="14" t="str">
        <x:v>REG_0146</x:v>
      </x:c>
      <x:c r="B147" s="14" t="str">
        <x:v>GN_NORTE</x:v>
      </x:c>
      <x:c r="C147" s="14" t="str">
        <x:v>INTERIOR 1</x:v>
      </x:c>
      <x:c r="D147" s="14" t="str">
        <x:v>km100</x:v>
      </x:c>
      <x:c r="E147" s="14" t="str">
        <x:v>PA</x:v>
      </x:c>
      <x:c r="F147" s="14" t="str">
        <x:v>35%</x:v>
      </x:c>
      <x:c r="G147" s="14"/>
      <x:c r="H147" s="14" t="str">
        <x:v>D+6</x:v>
      </x:c>
      <x:c r="I147" s="14" t="str">
        <x:v>doc20620820260704143103.pdf</x:v>
      </x:c>
      <x:c r="J147" s="14" t="str">
        <x:v>1</x:v>
      </x:c>
      <x:c r="K147" s="14" t="str">
        <x:v>REVISAR_OK</x:v>
      </x:c>
      <x:c r="L147"/>
      <x:c r="M147"/>
      <x:c r="N147"/>
      <x:c r="O147"/>
      <x:c r="P147"/>
      <x:c r="Q147"/>
      <x:c r="R147"/>
      <x:c r="S147"/>
      <x:c r="T147"/>
      <x:c r="U147"/>
      <x:c r="V147" t="str">
        <x:v>SIM</x:v>
      </x:c>
      <x:c r="W147" t="str">
        <x:v>GN</x:v>
      </x:c>
      <x:c r="X147" s="12" t="str">
        <x:v>PERCENTUAL</x:v>
      </x:c>
      <x:c r="Y147" s="12"/>
      <x:c r="Z147" s="12" t="str">
        <x:v>2.6.44</x:v>
      </x:c>
      <x:c r="AA147" s="12" t="str">
        <x:v>Frete base × percentual; aplicar frete mínimo quando maior. Bloco percentual ativado; controle visual passivo.</x:v>
      </x:c>
    </x:row>
    <x:row r="148">
      <x:c r="A148" s="14" t="str">
        <x:v>REG_0147</x:v>
      </x:c>
      <x:c r="B148" s="14" t="str">
        <x:v>GN_NORTE</x:v>
      </x:c>
      <x:c r="C148" s="14" t="str">
        <x:v>INTERIOR 1</x:v>
      </x:c>
      <x:c r="D148" s="14" t="str">
        <x:v>Pacajá</x:v>
      </x:c>
      <x:c r="E148" s="14" t="str">
        <x:v>PA</x:v>
      </x:c>
      <x:c r="F148" s="14" t="str">
        <x:v>35%</x:v>
      </x:c>
      <x:c r="G148" s="14"/>
      <x:c r="H148" s="14" t="str">
        <x:v>D+6</x:v>
      </x:c>
      <x:c r="I148" s="14" t="str">
        <x:v>doc20620820260704143103.pdf</x:v>
      </x:c>
      <x:c r="J148" s="14" t="str">
        <x:v>1</x:v>
      </x:c>
      <x:c r="K148" s="14" t="str">
        <x:v>REVISAR_OK</x:v>
      </x:c>
      <x:c r="L148"/>
      <x:c r="M148"/>
      <x:c r="N148"/>
      <x:c r="O148"/>
      <x:c r="P148"/>
      <x:c r="Q148"/>
      <x:c r="R148"/>
      <x:c r="S148"/>
      <x:c r="T148"/>
      <x:c r="U148"/>
      <x:c r="V148" t="str">
        <x:v>SIM</x:v>
      </x:c>
      <x:c r="W148" t="str">
        <x:v>GN</x:v>
      </x:c>
      <x:c r="X148" s="12" t="str">
        <x:v>PERCENTUAL</x:v>
      </x:c>
      <x:c r="Y148" s="12"/>
      <x:c r="Z148" s="12" t="str">
        <x:v>2.6.44</x:v>
      </x:c>
      <x:c r="AA148" s="12" t="str">
        <x:v>Frete base × percentual; aplicar frete mínimo quando maior. Bloco percentual ativado; controle visual passivo.</x:v>
      </x:c>
    </x:row>
    <x:row r="149">
      <x:c r="A149" s="14" t="str">
        <x:v>REG_0148</x:v>
      </x:c>
      <x:c r="B149" s="14" t="str">
        <x:v>GN_NORTE</x:v>
      </x:c>
      <x:c r="C149" s="14" t="str">
        <x:v>INTERIOR 1</x:v>
      </x:c>
      <x:c r="D149" s="14" t="str">
        <x:v>Curuá</x:v>
      </x:c>
      <x:c r="E149" s="14" t="str">
        <x:v>PA</x:v>
      </x:c>
      <x:c r="F149" s="14" t="str">
        <x:v>35%</x:v>
      </x:c>
      <x:c r="G149" s="14"/>
      <x:c r="H149" s="14" t="str">
        <x:v>D+6</x:v>
      </x:c>
      <x:c r="I149" s="14" t="str">
        <x:v>doc20620820260704143103.pdf</x:v>
      </x:c>
      <x:c r="J149" s="14" t="str">
        <x:v>1</x:v>
      </x:c>
      <x:c r="K149" s="14" t="str">
        <x:v>REVISAR_OK</x:v>
      </x:c>
      <x:c r="L149"/>
      <x:c r="M149"/>
      <x:c r="N149"/>
      <x:c r="O149"/>
      <x:c r="P149"/>
      <x:c r="Q149"/>
      <x:c r="R149"/>
      <x:c r="S149"/>
      <x:c r="T149"/>
      <x:c r="U149"/>
      <x:c r="V149" t="str">
        <x:v>SIM</x:v>
      </x:c>
      <x:c r="W149" t="str">
        <x:v>GN</x:v>
      </x:c>
      <x:c r="X149" s="12" t="str">
        <x:v>PERCENTUAL</x:v>
      </x:c>
      <x:c r="Y149" s="12"/>
      <x:c r="Z149" s="12" t="str">
        <x:v>2.6.44</x:v>
      </x:c>
      <x:c r="AA149" s="12" t="str">
        <x:v>Frete base × percentual; aplicar frete mínimo quando maior. Bloco percentual ativado; controle visual passivo.</x:v>
      </x:c>
    </x:row>
    <x:row r="150">
      <x:c r="A150" s="14" t="str">
        <x:v>REG_0149</x:v>
      </x:c>
      <x:c r="B150" s="14" t="str">
        <x:v>GN_NORTE</x:v>
      </x:c>
      <x:c r="C150" s="14" t="str">
        <x:v>INTERIOR 1</x:v>
      </x:c>
      <x:c r="D150" s="14" t="str">
        <x:v>Terra Santa</x:v>
      </x:c>
      <x:c r="E150" s="14" t="str">
        <x:v>PA</x:v>
      </x:c>
      <x:c r="F150" s="14" t="str">
        <x:v>35%</x:v>
      </x:c>
      <x:c r="G150" s="14"/>
      <x:c r="H150" s="14" t="str">
        <x:v>D+6</x:v>
      </x:c>
      <x:c r="I150" s="14" t="str">
        <x:v>doc20620820260704143103.pdf</x:v>
      </x:c>
      <x:c r="J150" s="14" t="str">
        <x:v>1</x:v>
      </x:c>
      <x:c r="K150" s="14" t="str">
        <x:v>REVISAR_OK</x:v>
      </x:c>
      <x:c r="L150"/>
      <x:c r="M150"/>
      <x:c r="N150"/>
      <x:c r="O150"/>
      <x:c r="P150"/>
      <x:c r="Q150"/>
      <x:c r="R150"/>
      <x:c r="S150"/>
      <x:c r="T150"/>
      <x:c r="U150"/>
      <x:c r="V150" t="str">
        <x:v>SIM</x:v>
      </x:c>
      <x:c r="W150" t="str">
        <x:v>GN</x:v>
      </x:c>
      <x:c r="X150" s="12" t="str">
        <x:v>PERCENTUAL</x:v>
      </x:c>
      <x:c r="Y150" s="12"/>
      <x:c r="Z150" s="12" t="str">
        <x:v>2.6.44</x:v>
      </x:c>
      <x:c r="AA150" s="12" t="str">
        <x:v>Frete base × percentual; aplicar frete mínimo quando maior. Bloco percentual ativado; controle visual passivo.</x:v>
      </x:c>
    </x:row>
    <x:row r="151">
      <x:c r="A151" s="14" t="str">
        <x:v>REG_0150</x:v>
      </x:c>
      <x:c r="B151" s="14" t="str">
        <x:v>GN_NORTE</x:v>
      </x:c>
      <x:c r="C151" s="14" t="str">
        <x:v>INTERIOR 1</x:v>
      </x:c>
      <x:c r="D151" s="14" t="str">
        <x:v>Porto de Trombetas</x:v>
      </x:c>
      <x:c r="E151" s="14" t="str">
        <x:v>PA</x:v>
      </x:c>
      <x:c r="F151" s="14" t="str">
        <x:v>35%</x:v>
      </x:c>
      <x:c r="G151" s="14"/>
      <x:c r="H151" s="14" t="str">
        <x:v>D+6</x:v>
      </x:c>
      <x:c r="I151" s="14" t="str">
        <x:v>doc20620820260704143103.pdf</x:v>
      </x:c>
      <x:c r="J151" s="14" t="str">
        <x:v>1</x:v>
      </x:c>
      <x:c r="K151" s="14" t="str">
        <x:v>REVISAR_OK</x:v>
      </x:c>
      <x:c r="L151"/>
      <x:c r="M151"/>
      <x:c r="N151"/>
      <x:c r="O151"/>
      <x:c r="P151"/>
      <x:c r="Q151"/>
      <x:c r="R151"/>
      <x:c r="S151"/>
      <x:c r="T151"/>
      <x:c r="U151"/>
      <x:c r="V151" t="str">
        <x:v>SIM</x:v>
      </x:c>
      <x:c r="W151" t="str">
        <x:v>GN</x:v>
      </x:c>
      <x:c r="X151" s="12" t="str">
        <x:v>PERCENTUAL</x:v>
      </x:c>
      <x:c r="Y151" s="12"/>
      <x:c r="Z151" s="12" t="str">
        <x:v>2.6.44</x:v>
      </x:c>
      <x:c r="AA151" s="12" t="str">
        <x:v>Frete base × percentual; aplicar frete mínimo quando maior. Bloco percentual ativado; controle visual passivo.</x:v>
      </x:c>
    </x:row>
    <x:row r="152">
      <x:c r="A152" s="14" t="str">
        <x:v>REG_0151</x:v>
      </x:c>
      <x:c r="B152" s="14" t="str">
        <x:v>GN_NORTE</x:v>
      </x:c>
      <x:c r="C152" s="14" t="str">
        <x:v>INTERIOR 2</x:v>
      </x:c>
      <x:c r="D152" s="14" t="str">
        <x:v>Faro</x:v>
      </x:c>
      <x:c r="E152" s="14" t="str">
        <x:v>PA</x:v>
      </x:c>
      <x:c r="F152" s="14" t="str">
        <x:v>35%</x:v>
      </x:c>
      <x:c r="G152" s="14"/>
      <x:c r="H152" s="14" t="str">
        <x:v>D+8</x:v>
      </x:c>
      <x:c r="I152" s="14" t="str">
        <x:v>doc20620820260704143103.pdf</x:v>
      </x:c>
      <x:c r="J152" s="14" t="str">
        <x:v>1</x:v>
      </x:c>
      <x:c r="K152" s="14" t="str">
        <x:v>REVISAR_OK</x:v>
      </x:c>
      <x:c r="L152"/>
      <x:c r="M152"/>
      <x:c r="N152"/>
      <x:c r="O152"/>
      <x:c r="P152"/>
      <x:c r="Q152"/>
      <x:c r="R152"/>
      <x:c r="S152"/>
      <x:c r="T152"/>
      <x:c r="U152"/>
      <x:c r="V152" t="str">
        <x:v>SIM</x:v>
      </x:c>
      <x:c r="W152" t="str">
        <x:v>GN</x:v>
      </x:c>
      <x:c r="X152" s="12" t="str">
        <x:v>PERCENTUAL</x:v>
      </x:c>
      <x:c r="Y152" s="12"/>
      <x:c r="Z152" s="12" t="str">
        <x:v>2.6.44</x:v>
      </x:c>
      <x:c r="AA152" s="12" t="str">
        <x:v>Frete base × percentual; aplicar frete mínimo quando maior. Bloco percentual ativado; controle visual passivo.</x:v>
      </x:c>
    </x:row>
    <x:row r="153">
      <x:c r="A153" s="14" t="str">
        <x:v>REG_0152</x:v>
      </x:c>
      <x:c r="B153" s="14" t="str">
        <x:v>GN_NORTE</x:v>
      </x:c>
      <x:c r="C153" s="14" t="str">
        <x:v>INTERIOR 2</x:v>
      </x:c>
      <x:c r="D153" s="14" t="str">
        <x:v>Jacareacanga</x:v>
      </x:c>
      <x:c r="E153" s="14" t="str">
        <x:v>PA</x:v>
      </x:c>
      <x:c r="F153" s="14" t="str">
        <x:v>35%</x:v>
      </x:c>
      <x:c r="G153" s="14"/>
      <x:c r="H153" s="14" t="str">
        <x:v>D+8</x:v>
      </x:c>
      <x:c r="I153" s="14" t="str">
        <x:v>doc20620820260704143103.pdf</x:v>
      </x:c>
      <x:c r="J153" s="14" t="str">
        <x:v>1</x:v>
      </x:c>
      <x:c r="K153" s="14" t="str">
        <x:v>REVISAR_OK</x:v>
      </x:c>
      <x:c r="L153"/>
      <x:c r="M153"/>
      <x:c r="N153"/>
      <x:c r="O153"/>
      <x:c r="P153"/>
      <x:c r="Q153"/>
      <x:c r="R153"/>
      <x:c r="S153"/>
      <x:c r="T153"/>
      <x:c r="U153"/>
      <x:c r="V153" t="str">
        <x:v>SIM</x:v>
      </x:c>
      <x:c r="W153" t="str">
        <x:v>GN</x:v>
      </x:c>
      <x:c r="X153" s="12" t="str">
        <x:v>PERCENTUAL</x:v>
      </x:c>
      <x:c r="Y153" s="12"/>
      <x:c r="Z153" s="12" t="str">
        <x:v>2.6.44</x:v>
      </x:c>
      <x:c r="AA153" s="12" t="str">
        <x:v>Frete base × percentual; aplicar frete mínimo quando maior. Bloco percentual ativado; controle visual passivo.</x:v>
      </x:c>
    </x:row>
    <x:row r="154">
      <x:c r="A154" s="14" t="str">
        <x:v>REG_0153</x:v>
      </x:c>
      <x:c r="B154" s="14" t="str">
        <x:v>EM</x:v>
      </x:c>
      <x:c r="C154" s="14" t="str">
        <x:v>PARAGOMINAS</x:v>
      </x:c>
      <x:c r="D154" s="14" t="str">
        <x:v>Tailândia</x:v>
      </x:c>
      <x:c r="E154" s="14" t="str">
        <x:v>PA</x:v>
      </x:c>
      <x:c r="F154" s="14" t="str">
        <x:v>35%</x:v>
      </x:c>
      <x:c r="G154" s="14" t="n">
        <x:v>70</x:v>
      </x:c>
      <x:c r="H154" s="14" t="str">
        <x:v>D+3</x:v>
      </x:c>
      <x:c r="I154" s="14" t="str">
        <x:v>doc20620920260704143119.pdf</x:v>
      </x:c>
      <x:c r="J154" s="14" t="str">
        <x:v>1</x:v>
      </x:c>
      <x:c r="K154" s="14" t="str">
        <x:v>REVISAR_OK</x:v>
      </x:c>
      <x:c r="L154"/>
      <x:c r="M154"/>
      <x:c r="N154"/>
      <x:c r="O154"/>
      <x:c r="P154"/>
      <x:c r="Q154"/>
      <x:c r="R154"/>
      <x:c r="S154"/>
      <x:c r="T154"/>
      <x:c r="U154"/>
      <x:c r="V154" t="str">
        <x:v>SIM</x:v>
      </x:c>
      <x:c r="W154" t="str">
        <x:v>E&amp;M</x:v>
      </x:c>
      <x:c r="X154" s="12" t="str">
        <x:v>PERCENTUAL</x:v>
      </x:c>
      <x:c r="Y154" s="12"/>
      <x:c r="Z154" s="12" t="str">
        <x:v>2.6.44</x:v>
      </x:c>
      <x:c r="AA154" s="12" t="str">
        <x:v>Frete base × percentual; aplicar frete mínimo quando maior. Bloco percentual ativado; controle visual passivo.</x:v>
      </x:c>
    </x:row>
    <x:row r="155">
      <x:c r="A155" s="14" t="str">
        <x:v>REG_0154</x:v>
      </x:c>
      <x:c r="B155" s="14" t="str">
        <x:v>EM</x:v>
      </x:c>
      <x:c r="C155" s="14" t="str">
        <x:v>PARAGOMINAS</x:v>
      </x:c>
      <x:c r="D155" s="14" t="str">
        <x:v>Irituia</x:v>
      </x:c>
      <x:c r="E155" s="14" t="str">
        <x:v>PA</x:v>
      </x:c>
      <x:c r="F155" s="14" t="str">
        <x:v>20%</x:v>
      </x:c>
      <x:c r="G155" s="14" t="n">
        <x:v>70</x:v>
      </x:c>
      <x:c r="H155" s="14" t="str">
        <x:v>D+2</x:v>
      </x:c>
      <x:c r="I155" s="14" t="str">
        <x:v>doc20620920260704143119.pdf</x:v>
      </x:c>
      <x:c r="J155" s="14" t="str">
        <x:v>1</x:v>
      </x:c>
      <x:c r="K155" s="14" t="str">
        <x:v>REVISAR_OK</x:v>
      </x:c>
      <x:c r="L155"/>
      <x:c r="M155"/>
      <x:c r="N155"/>
      <x:c r="O155"/>
      <x:c r="P155"/>
      <x:c r="Q155"/>
      <x:c r="R155"/>
      <x:c r="S155"/>
      <x:c r="T155"/>
      <x:c r="U155"/>
      <x:c r="V155" t="str">
        <x:v>SIM</x:v>
      </x:c>
      <x:c r="W155" t="str">
        <x:v>E&amp;M</x:v>
      </x:c>
      <x:c r="X155" s="12" t="str">
        <x:v>PERCENTUAL</x:v>
      </x:c>
      <x:c r="Y155" s="12"/>
      <x:c r="Z155" s="12" t="str">
        <x:v>2.6.44</x:v>
      </x:c>
      <x:c r="AA155" s="12" t="str">
        <x:v>Frete base × percentual; aplicar frete mínimo quando maior. Bloco percentual ativado; controle visual passivo.</x:v>
      </x:c>
    </x:row>
    <x:row r="156">
      <x:c r="A156" s="14" t="str">
        <x:v>REG_0155</x:v>
      </x:c>
      <x:c r="B156" s="14" t="str">
        <x:v>EM</x:v>
      </x:c>
      <x:c r="C156" s="14" t="str">
        <x:v>PARAGOMINAS</x:v>
      </x:c>
      <x:c r="D156" s="14" t="str">
        <x:v>Tomé Açu</x:v>
      </x:c>
      <x:c r="E156" s="14" t="str">
        <x:v>PA</x:v>
      </x:c>
      <x:c r="F156" s="14" t="str">
        <x:v>20%</x:v>
      </x:c>
      <x:c r="G156" s="14" t="n">
        <x:v>70</x:v>
      </x:c>
      <x:c r="H156" s="14" t="str">
        <x:v>D+3</x:v>
      </x:c>
      <x:c r="I156" s="14" t="str">
        <x:v>doc20620920260704143119.pdf</x:v>
      </x:c>
      <x:c r="J156" s="14" t="str">
        <x:v>1</x:v>
      </x:c>
      <x:c r="K156" s="14" t="str">
        <x:v>REVISAR_OK</x:v>
      </x:c>
      <x:c r="L156"/>
      <x:c r="M156"/>
      <x:c r="N156"/>
      <x:c r="O156"/>
      <x:c r="P156"/>
      <x:c r="Q156"/>
      <x:c r="R156"/>
      <x:c r="S156"/>
      <x:c r="T156"/>
      <x:c r="U156"/>
      <x:c r="V156" t="str">
        <x:v>SIM</x:v>
      </x:c>
      <x:c r="W156" t="str">
        <x:v>E&amp;M</x:v>
      </x:c>
      <x:c r="X156" s="12" t="str">
        <x:v>PERCENTUAL</x:v>
      </x:c>
      <x:c r="Y156" s="12"/>
      <x:c r="Z156" s="12" t="str">
        <x:v>2.6.44</x:v>
      </x:c>
      <x:c r="AA156" s="12" t="str">
        <x:v>Frete base × percentual; aplicar frete mínimo quando maior. Bloco percentual ativado; controle visual passivo.</x:v>
      </x:c>
    </x:row>
    <x:row r="157">
      <x:c r="A157" s="14" t="str">
        <x:v>REG_0156</x:v>
      </x:c>
      <x:c r="B157" s="14" t="str">
        <x:v>EM</x:v>
      </x:c>
      <x:c r="C157" s="14" t="str">
        <x:v>PARAGOMINAS</x:v>
      </x:c>
      <x:c r="D157" s="14" t="str">
        <x:v>4 Bocas</x:v>
      </x:c>
      <x:c r="E157" s="14" t="str">
        <x:v>PA</x:v>
      </x:c>
      <x:c r="F157" s="14" t="str">
        <x:v>20%</x:v>
      </x:c>
      <x:c r="G157" s="14" t="n">
        <x:v>70</x:v>
      </x:c>
      <x:c r="H157" s="14" t="str">
        <x:v>D+3</x:v>
      </x:c>
      <x:c r="I157" s="14" t="str">
        <x:v>doc20620920260704143119.pdf</x:v>
      </x:c>
      <x:c r="J157" s="14" t="str">
        <x:v>1</x:v>
      </x:c>
      <x:c r="K157" s="14" t="str">
        <x:v>REVISAR_OK</x:v>
      </x:c>
      <x:c r="L157"/>
      <x:c r="M157"/>
      <x:c r="N157"/>
      <x:c r="O157"/>
      <x:c r="P157"/>
      <x:c r="Q157"/>
      <x:c r="R157"/>
      <x:c r="S157"/>
      <x:c r="T157"/>
      <x:c r="U157"/>
      <x:c r="V157" t="str">
        <x:v>SIM</x:v>
      </x:c>
      <x:c r="W157" t="str">
        <x:v>E&amp;M</x:v>
      </x:c>
      <x:c r="X157" s="12" t="str">
        <x:v>PERCENTUAL</x:v>
      </x:c>
      <x:c r="Y157" s="12"/>
      <x:c r="Z157" s="12" t="str">
        <x:v>2.6.44</x:v>
      </x:c>
      <x:c r="AA157" s="12" t="str">
        <x:v>Frete base × percentual; aplicar frete mínimo quando maior. Bloco percentual ativado; controle visual passivo.</x:v>
      </x:c>
    </x:row>
    <x:row r="158">
      <x:c r="A158" s="14" t="str">
        <x:v>REG_0157</x:v>
      </x:c>
      <x:c r="B158" s="14" t="str">
        <x:v>EM</x:v>
      </x:c>
      <x:c r="C158" s="14" t="str">
        <x:v>PARAGOMINAS</x:v>
      </x:c>
      <x:c r="D158" s="14" t="str">
        <x:v>Bom Jesus do Tocantins</x:v>
      </x:c>
      <x:c r="E158" s="14" t="str">
        <x:v>PA</x:v>
      </x:c>
      <x:c r="F158" s="14" t="str">
        <x:v>28%</x:v>
      </x:c>
      <x:c r="G158" s="14" t="n">
        <x:v>50</x:v>
      </x:c>
      <x:c r="H158" s="14" t="str">
        <x:v>D+2</x:v>
      </x:c>
      <x:c r="I158" s="14" t="str">
        <x:v>doc20620920260704143119.pdf</x:v>
      </x:c>
      <x:c r="J158" s="14" t="str">
        <x:v>1</x:v>
      </x:c>
      <x:c r="K158" s="14" t="str">
        <x:v>REVISAR_OK</x:v>
      </x:c>
      <x:c r="L158"/>
      <x:c r="M158"/>
      <x:c r="N158"/>
      <x:c r="O158"/>
      <x:c r="P158"/>
      <x:c r="Q158"/>
      <x:c r="R158"/>
      <x:c r="S158"/>
      <x:c r="T158"/>
      <x:c r="U158"/>
      <x:c r="V158" t="str">
        <x:v>SIM</x:v>
      </x:c>
      <x:c r="W158" t="str">
        <x:v>E&amp;M</x:v>
      </x:c>
      <x:c r="X158" s="12" t="str">
        <x:v>PERCENTUAL</x:v>
      </x:c>
      <x:c r="Y158" s="12"/>
      <x:c r="Z158" s="12" t="str">
        <x:v>2.6.44</x:v>
      </x:c>
      <x:c r="AA158" s="12" t="str">
        <x:v>Frete base × percentual; aplicar frete mínimo quando maior. Bloco percentual ativado; controle visual passivo.</x:v>
      </x:c>
    </x:row>
    <x:row r="159">
      <x:c r="A159" s="14" t="str">
        <x:v>REG_0158</x:v>
      </x:c>
      <x:c r="B159" s="14" t="str">
        <x:v>EM</x:v>
      </x:c>
      <x:c r="C159" s="14" t="str">
        <x:v>PARAGOMINAS</x:v>
      </x:c>
      <x:c r="D159" s="14" t="str">
        <x:v>Abel Figueiredo</x:v>
      </x:c>
      <x:c r="E159" s="14" t="str">
        <x:v>PA</x:v>
      </x:c>
      <x:c r="F159" s="14" t="str">
        <x:v>25%</x:v>
      </x:c>
      <x:c r="G159" s="14" t="n">
        <x:v>50</x:v>
      </x:c>
      <x:c r="H159" s="14" t="str">
        <x:v>D+2</x:v>
      </x:c>
      <x:c r="I159" s="14" t="str">
        <x:v>doc20620920260704143119.pdf</x:v>
      </x:c>
      <x:c r="J159" s="14" t="str">
        <x:v>1</x:v>
      </x:c>
      <x:c r="K159" s="14" t="str">
        <x:v>REVISAR_OK</x:v>
      </x:c>
      <x:c r="L159"/>
      <x:c r="M159"/>
      <x:c r="N159"/>
      <x:c r="O159"/>
      <x:c r="P159"/>
      <x:c r="Q159"/>
      <x:c r="R159"/>
      <x:c r="S159"/>
      <x:c r="T159"/>
      <x:c r="U159"/>
      <x:c r="V159" t="str">
        <x:v>SIM</x:v>
      </x:c>
      <x:c r="W159" t="str">
        <x:v>E&amp;M</x:v>
      </x:c>
      <x:c r="X159" s="12" t="str">
        <x:v>PERCENTUAL</x:v>
      </x:c>
      <x:c r="Y159" s="12"/>
      <x:c r="Z159" s="12" t="str">
        <x:v>2.6.44</x:v>
      </x:c>
      <x:c r="AA159" s="12" t="str">
        <x:v>Frete base × percentual; aplicar frete mínimo quando maior. Bloco percentual ativado; controle visual passivo.</x:v>
      </x:c>
    </x:row>
    <x:row r="160">
      <x:c r="A160" s="14" t="str">
        <x:v>REG_0159</x:v>
      </x:c>
      <x:c r="B160" s="14" t="str">
        <x:v>EM</x:v>
      </x:c>
      <x:c r="C160" s="14" t="str">
        <x:v>PARAGOMINAS</x:v>
      </x:c>
      <x:c r="D160" s="14" t="str">
        <x:v>Rondon do Pará</x:v>
      </x:c>
      <x:c r="E160" s="14" t="str">
        <x:v>PA</x:v>
      </x:c>
      <x:c r="F160" s="14" t="str">
        <x:v>20%</x:v>
      </x:c>
      <x:c r="G160" s="14" t="n">
        <x:v>50</x:v>
      </x:c>
      <x:c r="H160" s="14" t="str">
        <x:v>D+2</x:v>
      </x:c>
      <x:c r="I160" s="14" t="str">
        <x:v>doc20620920260704143119.pdf</x:v>
      </x:c>
      <x:c r="J160" s="14" t="str">
        <x:v>1</x:v>
      </x:c>
      <x:c r="K160" s="14" t="str">
        <x:v>REVISAR_OK</x:v>
      </x:c>
      <x:c r="L160"/>
      <x:c r="M160"/>
      <x:c r="N160"/>
      <x:c r="O160"/>
      <x:c r="P160"/>
      <x:c r="Q160"/>
      <x:c r="R160"/>
      <x:c r="S160"/>
      <x:c r="T160"/>
      <x:c r="U160"/>
      <x:c r="V160" t="str">
        <x:v>SIM</x:v>
      </x:c>
      <x:c r="W160" t="str">
        <x:v>E&amp;M</x:v>
      </x:c>
      <x:c r="X160" s="12" t="str">
        <x:v>PERCENTUAL</x:v>
      </x:c>
      <x:c r="Y160" s="12"/>
      <x:c r="Z160" s="12" t="str">
        <x:v>2.6.44</x:v>
      </x:c>
      <x:c r="AA160" s="12" t="str">
        <x:v>Frete base × percentual; aplicar frete mínimo quando maior. Bloco percentual ativado; controle visual passivo.</x:v>
      </x:c>
    </x:row>
    <x:row r="161">
      <x:c r="A161" s="14" t="str">
        <x:v>REG_0160</x:v>
      </x:c>
      <x:c r="B161" s="14" t="str">
        <x:v>EM</x:v>
      </x:c>
      <x:c r="C161" s="14" t="str">
        <x:v>PARAGOMINAS</x:v>
      </x:c>
      <x:c r="D161" s="14" t="str">
        <x:v>Dom Eliseu</x:v>
      </x:c>
      <x:c r="E161" s="14" t="str">
        <x:v>PA</x:v>
      </x:c>
      <x:c r="F161" s="14" t="str">
        <x:v>20%</x:v>
      </x:c>
      <x:c r="G161" s="14" t="n">
        <x:v>50</x:v>
      </x:c>
      <x:c r="H161" s="14" t="str">
        <x:v>D+2</x:v>
      </x:c>
      <x:c r="I161" s="14" t="str">
        <x:v>doc20620920260704143119.pdf</x:v>
      </x:c>
      <x:c r="J161" s="14" t="str">
        <x:v>1</x:v>
      </x:c>
      <x:c r="K161" s="14" t="str">
        <x:v>REVISAR_OK</x:v>
      </x:c>
      <x:c r="L161"/>
      <x:c r="M161"/>
      <x:c r="N161"/>
      <x:c r="O161"/>
      <x:c r="P161"/>
      <x:c r="Q161"/>
      <x:c r="R161"/>
      <x:c r="S161"/>
      <x:c r="T161"/>
      <x:c r="U161"/>
      <x:c r="V161" t="str">
        <x:v>SIM</x:v>
      </x:c>
      <x:c r="W161" t="str">
        <x:v>E&amp;M</x:v>
      </x:c>
      <x:c r="X161" s="12" t="str">
        <x:v>PERCENTUAL</x:v>
      </x:c>
      <x:c r="Y161" s="12"/>
      <x:c r="Z161" s="12" t="str">
        <x:v>2.6.44</x:v>
      </x:c>
      <x:c r="AA161" s="12" t="str">
        <x:v>Frete base × percentual; aplicar frete mínimo quando maior. Bloco percentual ativado; controle visual passivo.</x:v>
      </x:c>
    </x:row>
    <x:row r="162">
      <x:c r="A162" s="14" t="str">
        <x:v>REG_0161</x:v>
      </x:c>
      <x:c r="B162" s="14" t="str">
        <x:v>EM</x:v>
      </x:c>
      <x:c r="C162" s="14" t="str">
        <x:v>PARAGOMINAS</x:v>
      </x:c>
      <x:c r="D162" s="14" t="str">
        <x:v>Ulianópolis</x:v>
      </x:c>
      <x:c r="E162" s="14" t="str">
        <x:v>PA</x:v>
      </x:c>
      <x:c r="F162" s="14" t="str">
        <x:v>20%</x:v>
      </x:c>
      <x:c r="G162" s="14" t="n">
        <x:v>50</x:v>
      </x:c>
      <x:c r="H162" s="14" t="str">
        <x:v>D+2</x:v>
      </x:c>
      <x:c r="I162" s="14" t="str">
        <x:v>doc20620920260704143119.pdf</x:v>
      </x:c>
      <x:c r="J162" s="14" t="str">
        <x:v>1</x:v>
      </x:c>
      <x:c r="K162" s="14" t="str">
        <x:v>REVISAR_OK</x:v>
      </x:c>
      <x:c r="L162"/>
      <x:c r="M162"/>
      <x:c r="N162"/>
      <x:c r="O162"/>
      <x:c r="P162"/>
      <x:c r="Q162"/>
      <x:c r="R162"/>
      <x:c r="S162"/>
      <x:c r="T162"/>
      <x:c r="U162"/>
      <x:c r="V162" t="str">
        <x:v>SIM</x:v>
      </x:c>
      <x:c r="W162" t="str">
        <x:v>E&amp;M</x:v>
      </x:c>
      <x:c r="X162" s="12" t="str">
        <x:v>PERCENTUAL</x:v>
      </x:c>
      <x:c r="Y162" s="12"/>
      <x:c r="Z162" s="12" t="str">
        <x:v>2.6.44</x:v>
      </x:c>
      <x:c r="AA162" s="12" t="str">
        <x:v>Frete base × percentual; aplicar frete mínimo quando maior. Bloco percentual ativado; controle visual passivo.</x:v>
      </x:c>
    </x:row>
    <x:row r="163">
      <x:c r="A163" s="14" t="str">
        <x:v>REG_0162</x:v>
      </x:c>
      <x:c r="B163" s="14" t="str">
        <x:v>EM</x:v>
      </x:c>
      <x:c r="C163" s="14" t="str">
        <x:v>PARAGOMINAS</x:v>
      </x:c>
      <x:c r="D163" s="14" t="str">
        <x:v>Vila Canaã</x:v>
      </x:c>
      <x:c r="E163" s="14" t="str">
        <x:v>PA</x:v>
      </x:c>
      <x:c r="F163" s="14" t="str">
        <x:v>20%</x:v>
      </x:c>
      <x:c r="G163" s="14" t="n">
        <x:v>60</x:v>
      </x:c>
      <x:c r="H163" s="14" t="str">
        <x:v>D+3</x:v>
      </x:c>
      <x:c r="I163" s="14" t="str">
        <x:v>doc20620920260704143119.pdf</x:v>
      </x:c>
      <x:c r="J163" s="14" t="str">
        <x:v>1</x:v>
      </x:c>
      <x:c r="K163" s="14" t="str">
        <x:v>REVISAR_OK</x:v>
      </x:c>
      <x:c r="L163"/>
      <x:c r="M163"/>
      <x:c r="N163"/>
      <x:c r="O163"/>
      <x:c r="P163"/>
      <x:c r="Q163"/>
      <x:c r="R163"/>
      <x:c r="S163"/>
      <x:c r="T163"/>
      <x:c r="U163"/>
      <x:c r="V163" t="str">
        <x:v>SIM</x:v>
      </x:c>
      <x:c r="W163" t="str">
        <x:v>E&amp;M</x:v>
      </x:c>
      <x:c r="X163" s="12" t="str">
        <x:v>PERCENTUAL</x:v>
      </x:c>
      <x:c r="Y163" s="12"/>
      <x:c r="Z163" s="12" t="str">
        <x:v>2.6.44</x:v>
      </x:c>
      <x:c r="AA163" s="12" t="str">
        <x:v>Frete base × percentual; aplicar frete mínimo quando maior. Bloco percentual ativado; controle visual passivo.</x:v>
      </x:c>
    </x:row>
    <x:row r="164">
      <x:c r="A164" s="14" t="str">
        <x:v>REG_0163</x:v>
      </x:c>
      <x:c r="B164" s="14" t="str">
        <x:v>EM</x:v>
      </x:c>
      <x:c r="C164" s="14" t="str">
        <x:v>PARAGOMINAS</x:v>
      </x:c>
      <x:c r="D164" s="14" t="str">
        <x:v>Ipixuna</x:v>
      </x:c>
      <x:c r="E164" s="14" t="str">
        <x:v>PA</x:v>
      </x:c>
      <x:c r="F164" s="14" t="str">
        <x:v>20%</x:v>
      </x:c>
      <x:c r="G164" s="14" t="n">
        <x:v>60</x:v>
      </x:c>
      <x:c r="H164" s="14" t="str">
        <x:v>D+2</x:v>
      </x:c>
      <x:c r="I164" s="14" t="str">
        <x:v>doc20620920260704143119.pdf</x:v>
      </x:c>
      <x:c r="J164" s="14" t="str">
        <x:v>1</x:v>
      </x:c>
      <x:c r="K164" s="14" t="str">
        <x:v>REVISAR_OK</x:v>
      </x:c>
      <x:c r="L164"/>
      <x:c r="M164"/>
      <x:c r="N164"/>
      <x:c r="O164"/>
      <x:c r="P164"/>
      <x:c r="Q164"/>
      <x:c r="R164"/>
      <x:c r="S164"/>
      <x:c r="T164"/>
      <x:c r="U164"/>
      <x:c r="V164" t="str">
        <x:v>SIM</x:v>
      </x:c>
      <x:c r="W164" t="str">
        <x:v>E&amp;M</x:v>
      </x:c>
      <x:c r="X164" s="12" t="str">
        <x:v>PERCENTUAL</x:v>
      </x:c>
      <x:c r="Y164" s="12"/>
      <x:c r="Z164" s="12" t="str">
        <x:v>2.6.44</x:v>
      </x:c>
      <x:c r="AA164" s="12" t="str">
        <x:v>Frete base × percentual; aplicar frete mínimo quando maior. Bloco percentual ativado; controle visual passivo.</x:v>
      </x:c>
    </x:row>
    <x:row r="165">
      <x:c r="A165" s="14" t="str">
        <x:v>REG_0164</x:v>
      </x:c>
      <x:c r="B165" s="14" t="str">
        <x:v>EM</x:v>
      </x:c>
      <x:c r="C165" s="14" t="str">
        <x:v>PARAGOMINAS</x:v>
      </x:c>
      <x:c r="D165" s="14" t="str">
        <x:v>Aurora do Pará</x:v>
      </x:c>
      <x:c r="E165" s="14" t="str">
        <x:v>PA</x:v>
      </x:c>
      <x:c r="F165" s="14" t="str">
        <x:v>25%</x:v>
      </x:c>
      <x:c r="G165" s="14" t="n">
        <x:v>60</x:v>
      </x:c>
      <x:c r="H165" s="14" t="str">
        <x:v>D+2</x:v>
      </x:c>
      <x:c r="I165" s="14" t="str">
        <x:v>doc20620920260704143119.pdf</x:v>
      </x:c>
      <x:c r="J165" s="14" t="str">
        <x:v>1</x:v>
      </x:c>
      <x:c r="K165" s="14" t="str">
        <x:v>REVISAR_OK</x:v>
      </x:c>
      <x:c r="L165"/>
      <x:c r="M165"/>
      <x:c r="N165"/>
      <x:c r="O165"/>
      <x:c r="P165"/>
      <x:c r="Q165"/>
      <x:c r="R165"/>
      <x:c r="S165"/>
      <x:c r="T165"/>
      <x:c r="U165"/>
      <x:c r="V165" t="str">
        <x:v>SIM</x:v>
      </x:c>
      <x:c r="W165" t="str">
        <x:v>E&amp;M</x:v>
      </x:c>
      <x:c r="X165" s="12" t="str">
        <x:v>PERCENTUAL</x:v>
      </x:c>
      <x:c r="Y165" s="12"/>
      <x:c r="Z165" s="12" t="str">
        <x:v>2.6.44</x:v>
      </x:c>
      <x:c r="AA165" s="12" t="str">
        <x:v>Frete base × percentual; aplicar frete mínimo quando maior. Bloco percentual ativado; controle visual passivo.</x:v>
      </x:c>
    </x:row>
    <x:row r="166">
      <x:c r="A166" s="14" t="str">
        <x:v>REG_0165</x:v>
      </x:c>
      <x:c r="B166" s="14" t="str">
        <x:v>EM</x:v>
      </x:c>
      <x:c r="C166" s="14" t="str">
        <x:v>PARAGOMINAS</x:v>
      </x:c>
      <x:c r="D166" s="14" t="str">
        <x:v>Mãe do Rio</x:v>
      </x:c>
      <x:c r="E166" s="14" t="str">
        <x:v>PA</x:v>
      </x:c>
      <x:c r="F166" s="14" t="str">
        <x:v>20%</x:v>
      </x:c>
      <x:c r="G166" s="14" t="n">
        <x:v>70</x:v>
      </x:c>
      <x:c r="H166" s="14" t="str">
        <x:v>D+2</x:v>
      </x:c>
      <x:c r="I166" s="14" t="str">
        <x:v>doc20620920260704143119.pdf</x:v>
      </x:c>
      <x:c r="J166" s="14" t="str">
        <x:v>1</x:v>
      </x:c>
      <x:c r="K166" s="14" t="str">
        <x:v>REVISAR_OK</x:v>
      </x:c>
      <x:c r="L166"/>
      <x:c r="M166"/>
      <x:c r="N166"/>
      <x:c r="O166"/>
      <x:c r="P166"/>
      <x:c r="Q166"/>
      <x:c r="R166"/>
      <x:c r="S166"/>
      <x:c r="T166"/>
      <x:c r="U166"/>
      <x:c r="V166" t="str">
        <x:v>SIM</x:v>
      </x:c>
      <x:c r="W166" t="str">
        <x:v>E&amp;M</x:v>
      </x:c>
      <x:c r="X166" s="12" t="str">
        <x:v>PERCENTUAL</x:v>
      </x:c>
      <x:c r="Y166" s="12"/>
      <x:c r="Z166" s="12" t="str">
        <x:v>2.6.44</x:v>
      </x:c>
      <x:c r="AA166" s="12" t="str">
        <x:v>Frete base × percentual; aplicar frete mínimo quando maior. Bloco percentual ativado; controle visual passivo.</x:v>
      </x:c>
    </x:row>
    <x:row r="167">
      <x:c r="A167" s="14" t="str">
        <x:v>REG_0166</x:v>
      </x:c>
      <x:c r="B167" s="14" t="str">
        <x:v>EM</x:v>
      </x:c>
      <x:c r="C167" s="14" t="str">
        <x:v>PARAGOMINAS</x:v>
      </x:c>
      <x:c r="D167" s="14" t="str">
        <x:v>São Miguel</x:v>
      </x:c>
      <x:c r="E167" s="14" t="str">
        <x:v>PA</x:v>
      </x:c>
      <x:c r="F167" s="14" t="str">
        <x:v>28%</x:v>
      </x:c>
      <x:c r="G167" s="14" t="n">
        <x:v>70</x:v>
      </x:c>
      <x:c r="H167" s="14" t="str">
        <x:v>D+2</x:v>
      </x:c>
      <x:c r="I167" s="14" t="str">
        <x:v>doc20620920260704143119.pdf</x:v>
      </x:c>
      <x:c r="J167" s="14" t="str">
        <x:v>1</x:v>
      </x:c>
      <x:c r="K167" s="14" t="str">
        <x:v>REVISAR_OK</x:v>
      </x:c>
      <x:c r="L167"/>
      <x:c r="M167"/>
      <x:c r="N167"/>
      <x:c r="O167"/>
      <x:c r="P167"/>
      <x:c r="Q167"/>
      <x:c r="R167"/>
      <x:c r="S167"/>
      <x:c r="T167"/>
      <x:c r="U167"/>
      <x:c r="V167" t="str">
        <x:v>SIM</x:v>
      </x:c>
      <x:c r="W167" t="str">
        <x:v>E&amp;M</x:v>
      </x:c>
      <x:c r="X167" s="12" t="str">
        <x:v>PERCENTUAL</x:v>
      </x:c>
      <x:c r="Y167" s="12"/>
      <x:c r="Z167" s="12" t="str">
        <x:v>2.6.44</x:v>
      </x:c>
      <x:c r="AA167" s="12" t="str">
        <x:v>Frete base × percentual; aplicar frete mínimo quando maior. Bloco percentual ativado; controle visual passivo.</x:v>
      </x:c>
    </x:row>
    <x:row r="168">
      <x:c r="A168" s="14" t="str">
        <x:v>REG_0167</x:v>
      </x:c>
      <x:c r="B168" s="14" t="str">
        <x:v>EM</x:v>
      </x:c>
      <x:c r="C168" s="14" t="str">
        <x:v>PARAGOMINAS</x:v>
      </x:c>
      <x:c r="D168" s="14" t="str">
        <x:v>Santa Maria</x:v>
      </x:c>
      <x:c r="E168" s="14" t="str">
        <x:v>PA</x:v>
      </x:c>
      <x:c r="F168" s="14" t="str">
        <x:v>28%</x:v>
      </x:c>
      <x:c r="G168" s="14" t="n">
        <x:v>70</x:v>
      </x:c>
      <x:c r="H168" s="14" t="str">
        <x:v>D+2</x:v>
      </x:c>
      <x:c r="I168" s="14" t="str">
        <x:v>doc20620920260704143119.pdf</x:v>
      </x:c>
      <x:c r="J168" s="14" t="str">
        <x:v>1</x:v>
      </x:c>
      <x:c r="K168" s="14" t="str">
        <x:v>REVISAR_OK</x:v>
      </x:c>
      <x:c r="L168"/>
      <x:c r="M168"/>
      <x:c r="N168"/>
      <x:c r="O168"/>
      <x:c r="P168"/>
      <x:c r="Q168"/>
      <x:c r="R168"/>
      <x:c r="S168"/>
      <x:c r="T168"/>
      <x:c r="U168"/>
      <x:c r="V168" t="str">
        <x:v>SIM</x:v>
      </x:c>
      <x:c r="W168" t="str">
        <x:v>E&amp;M</x:v>
      </x:c>
      <x:c r="X168" s="12" t="str">
        <x:v>PERCENTUAL</x:v>
      </x:c>
      <x:c r="Y168" s="12"/>
      <x:c r="Z168" s="12" t="str">
        <x:v>2.6.44</x:v>
      </x:c>
      <x:c r="AA168" s="12" t="str">
        <x:v>Frete base × percentual; aplicar frete mínimo quando maior. Bloco percentual ativado; controle visual passivo.</x:v>
      </x:c>
    </x:row>
    <x:row r="169">
      <x:c r="A169" s="14" t="str">
        <x:v>REG_0168</x:v>
      </x:c>
      <x:c r="B169" s="14" t="str">
        <x:v>EM</x:v>
      </x:c>
      <x:c r="C169" s="14" t="str">
        <x:v>PARAGOMINAS</x:v>
      </x:c>
      <x:c r="D169" s="14" t="str">
        <x:v>Castanhal</x:v>
      </x:c>
      <x:c r="E169" s="14" t="str">
        <x:v>PA</x:v>
      </x:c>
      <x:c r="F169" s="14" t="str">
        <x:v>28%</x:v>
      </x:c>
      <x:c r="G169" s="14" t="n">
        <x:v>70</x:v>
      </x:c>
      <x:c r="H169" s="14" t="str">
        <x:v>D+2</x:v>
      </x:c>
      <x:c r="I169" s="14" t="str">
        <x:v>doc20620920260704143119.pdf</x:v>
      </x:c>
      <x:c r="J169" s="14" t="str">
        <x:v>1</x:v>
      </x:c>
      <x:c r="K169" s="14" t="str">
        <x:v>REVISAR_OK</x:v>
      </x:c>
      <x:c r="L169"/>
      <x:c r="M169"/>
      <x:c r="N169"/>
      <x:c r="O169"/>
      <x:c r="P169"/>
      <x:c r="Q169"/>
      <x:c r="R169"/>
      <x:c r="S169"/>
      <x:c r="T169"/>
      <x:c r="U169"/>
      <x:c r="V169" t="str">
        <x:v>SIM</x:v>
      </x:c>
      <x:c r="W169" t="str">
        <x:v>E&amp;M</x:v>
      </x:c>
      <x:c r="X169" s="12" t="str">
        <x:v>PERCENTUAL</x:v>
      </x:c>
      <x:c r="Y169" s="12"/>
      <x:c r="Z169" s="12" t="str">
        <x:v>2.6.44</x:v>
      </x:c>
      <x:c r="AA169" s="12" t="str">
        <x:v>Frete base × percentual; aplicar frete mínimo quando maior. Bloco percentual ativado; controle visual passivo.</x:v>
      </x:c>
    </x:row>
    <x:row r="170">
      <x:c r="A170" s="14" t="str">
        <x:v>REG_0169</x:v>
      </x:c>
      <x:c r="B170" s="14" t="str">
        <x:v>EM</x:v>
      </x:c>
      <x:c r="C170" s="14" t="str">
        <x:v>PARAGOMINAS</x:v>
      </x:c>
      <x:c r="D170" s="14" t="str">
        <x:v>Itinga/MA</x:v>
      </x:c>
      <x:c r="E170" s="14" t="str">
        <x:v>PA</x:v>
      </x:c>
      <x:c r="F170" s="14" t="str">
        <x:v>25%</x:v>
      </x:c>
      <x:c r="G170" s="14" t="n">
        <x:v>70</x:v>
      </x:c>
      <x:c r="H170" s="14" t="str">
        <x:v>D+2</x:v>
      </x:c>
      <x:c r="I170" s="14" t="str">
        <x:v>doc20620920260704143119.pdf</x:v>
      </x:c>
      <x:c r="J170" s="14" t="str">
        <x:v>1</x:v>
      </x:c>
      <x:c r="K170" s="14" t="str">
        <x:v>REVISAR_OK</x:v>
      </x:c>
      <x:c r="L170"/>
      <x:c r="M170"/>
      <x:c r="N170"/>
      <x:c r="O170"/>
      <x:c r="P170"/>
      <x:c r="Q170"/>
      <x:c r="R170"/>
      <x:c r="S170"/>
      <x:c r="T170"/>
      <x:c r="U170"/>
      <x:c r="V170" t="str">
        <x:v>SIM</x:v>
      </x:c>
      <x:c r="W170" t="str">
        <x:v>E&amp;M</x:v>
      </x:c>
      <x:c r="X170" s="12" t="str">
        <x:v>PERCENTUAL</x:v>
      </x:c>
      <x:c r="Y170" s="12"/>
      <x:c r="Z170" s="12" t="str">
        <x:v>2.6.44</x:v>
      </x:c>
      <x:c r="AA170" s="12" t="str">
        <x:v>Frete base × percentual; aplicar frete mínimo quando maior. Bloco percentual ativado; controle visual passivo.</x:v>
      </x:c>
    </x:row>
    <x:row r="171">
      <x:c r="A171" s="14" t="str">
        <x:v>REG_0170</x:v>
      </x:c>
      <x:c r="B171" s="14" t="str">
        <x:v>EM</x:v>
      </x:c>
      <x:c r="C171" s="14" t="str">
        <x:v>PARAGOMINAS</x:v>
      </x:c>
      <x:c r="D171" s="14" t="str">
        <x:v>Açailândia</x:v>
      </x:c>
      <x:c r="E171" s="14" t="str">
        <x:v>PA</x:v>
      </x:c>
      <x:c r="F171" s="14" t="str">
        <x:v>28%</x:v>
      </x:c>
      <x:c r="G171" s="14" t="n">
        <x:v>70</x:v>
      </x:c>
      <x:c r="H171" s="14" t="str">
        <x:v>D+2</x:v>
      </x:c>
      <x:c r="I171" s="14" t="str">
        <x:v>doc20620920260704143119.pdf</x:v>
      </x:c>
      <x:c r="J171" s="14" t="str">
        <x:v>1</x:v>
      </x:c>
      <x:c r="K171" s="14" t="str">
        <x:v>REVISAR_OK</x:v>
      </x:c>
      <x:c r="L171"/>
      <x:c r="M171"/>
      <x:c r="N171"/>
      <x:c r="O171"/>
      <x:c r="P171"/>
      <x:c r="Q171"/>
      <x:c r="R171"/>
      <x:c r="S171"/>
      <x:c r="T171"/>
      <x:c r="U171"/>
      <x:c r="V171" t="str">
        <x:v>SIM</x:v>
      </x:c>
      <x:c r="W171" t="str">
        <x:v>E&amp;M</x:v>
      </x:c>
      <x:c r="X171" s="12" t="str">
        <x:v>PERCENTUAL</x:v>
      </x:c>
      <x:c r="Y171" s="12"/>
      <x:c r="Z171" s="12" t="str">
        <x:v>2.6.44</x:v>
      </x:c>
      <x:c r="AA171" s="12" t="str">
        <x:v>Frete base × percentual; aplicar frete mínimo quando maior. Bloco percentual ativado; controle visual passivo.</x:v>
      </x:c>
    </x:row>
    <x:row r="172">
      <x:c r="A172" s="14" t="str">
        <x:v>REG_0171</x:v>
      </x:c>
      <x:c r="B172" s="14" t="str">
        <x:v>EM</x:v>
      </x:c>
      <x:c r="C172" s="14" t="str">
        <x:v>PARAGOMINAS</x:v>
      </x:c>
      <x:c r="D172" s="14" t="str">
        <x:v>Imperatriz</x:v>
      </x:c>
      <x:c r="E172" s="14" t="str">
        <x:v>PA</x:v>
      </x:c>
      <x:c r="F172" s="14" t="str">
        <x:v>28%</x:v>
      </x:c>
      <x:c r="G172" s="14" t="n">
        <x:v>70</x:v>
      </x:c>
      <x:c r="H172" s="14" t="str">
        <x:v>D+2</x:v>
      </x:c>
      <x:c r="I172" s="14" t="str">
        <x:v>doc20620920260704143119.pdf</x:v>
      </x:c>
      <x:c r="J172" s="14" t="str">
        <x:v>1</x:v>
      </x:c>
      <x:c r="K172" s="14" t="str">
        <x:v>REVISAR_OK</x:v>
      </x:c>
      <x:c r="L172"/>
      <x:c r="M172"/>
      <x:c r="N172"/>
      <x:c r="O172"/>
      <x:c r="P172"/>
      <x:c r="Q172"/>
      <x:c r="R172"/>
      <x:c r="S172"/>
      <x:c r="T172"/>
      <x:c r="U172"/>
      <x:c r="V172" t="str">
        <x:v>SIM</x:v>
      </x:c>
      <x:c r="W172" t="str">
        <x:v>E&amp;M</x:v>
      </x:c>
      <x:c r="X172" s="12" t="str">
        <x:v>PERCENTUAL</x:v>
      </x:c>
      <x:c r="Y172" s="12"/>
      <x:c r="Z172" s="12" t="str">
        <x:v>2.6.44</x:v>
      </x:c>
      <x:c r="AA172" s="12" t="str">
        <x:v>Frete base × percentual; aplicar frete mínimo quando maior. Bloco percentual ativado; controle visual passivo.</x:v>
      </x:c>
    </x:row>
    <x:row r="173">
      <x:c r="A173" s="14" t="str">
        <x:v>REG_0172</x:v>
      </x:c>
      <x:c r="B173" s="14" t="str">
        <x:v>FENIX</x:v>
      </x:c>
      <x:c r="C173" s="14" t="str">
        <x:v>ORIGEM ANANINDEUA</x:v>
      </x:c>
      <x:c r="D173" s="14" t="str">
        <x:v>Prainha</x:v>
      </x:c>
      <x:c r="E173" s="14" t="str">
        <x:v>PA</x:v>
      </x:c>
      <x:c r="F173" s="14" t="str">
        <x:v>35%</x:v>
      </x:c>
      <x:c r="G173" s="14" t="n">
        <x:v>92</x:v>
      </x:c>
      <x:c r="H173" s="14" t="str">
        <x:v>8 a 10 dias / revisar</x:v>
      </x:c>
      <x:c r="I173" s="14" t="str">
        <x:v>doc20621020260704143141.pdf</x:v>
      </x:c>
      <x:c r="J173" s="14" t="str">
        <x:v>1</x:v>
      </x:c>
      <x:c r="K173" s="14" t="str">
        <x:v>REVISAR_OK</x:v>
      </x:c>
      <x:c r="L173"/>
      <x:c r="M173"/>
      <x:c r="N173"/>
      <x:c r="O173"/>
      <x:c r="P173"/>
      <x:c r="Q173"/>
      <x:c r="R173"/>
      <x:c r="S173"/>
      <x:c r="T173"/>
      <x:c r="U173"/>
      <x:c r="V173" t="str">
        <x:v>SIM</x:v>
      </x:c>
      <x:c r="W173" t="str">
        <x:v>FÊNIX</x:v>
      </x:c>
      <x:c r="X173" s="12" t="str">
        <x:v>PERCENTUAL</x:v>
      </x:c>
      <x:c r="Y173" s="12"/>
      <x:c r="Z173" s="12" t="str">
        <x:v>2.6.44</x:v>
      </x:c>
      <x:c r="AA173" s="12" t="str">
        <x:v>Frete base × percentual; aplicar frete mínimo quando maior. Bloco percentual ativado; controle visual passivo.</x:v>
      </x:c>
    </x:row>
    <x:row r="174">
      <x:c r="A174" s="14" t="str">
        <x:v>REG_0173</x:v>
      </x:c>
      <x:c r="B174" s="14" t="str">
        <x:v>FENIX</x:v>
      </x:c>
      <x:c r="C174" s="14" t="str">
        <x:v>ORIGEM ANANINDEUA</x:v>
      </x:c>
      <x:c r="D174" s="14" t="str">
        <x:v>Monte Alegre</x:v>
      </x:c>
      <x:c r="E174" s="14" t="str">
        <x:v>PA</x:v>
      </x:c>
      <x:c r="F174" s="14" t="str">
        <x:v>35%</x:v>
      </x:c>
      <x:c r="G174" s="14" t="n">
        <x:v>92</x:v>
      </x:c>
      <x:c r="H174" s="14" t="str">
        <x:v>8 a 10 dias / revisar</x:v>
      </x:c>
      <x:c r="I174" s="14" t="str">
        <x:v>doc20621020260704143141.pdf</x:v>
      </x:c>
      <x:c r="J174" s="14" t="str">
        <x:v>1</x:v>
      </x:c>
      <x:c r="K174" s="14" t="str">
        <x:v>REVISAR_OK</x:v>
      </x:c>
      <x:c r="L174"/>
      <x:c r="M174"/>
      <x:c r="N174"/>
      <x:c r="O174"/>
      <x:c r="P174"/>
      <x:c r="Q174"/>
      <x:c r="R174"/>
      <x:c r="S174"/>
      <x:c r="T174"/>
      <x:c r="U174"/>
      <x:c r="V174" t="str">
        <x:v>SIM</x:v>
      </x:c>
      <x:c r="W174" t="str">
        <x:v>FÊNIX</x:v>
      </x:c>
      <x:c r="X174" s="12" t="str">
        <x:v>PERCENTUAL</x:v>
      </x:c>
      <x:c r="Y174" s="12"/>
      <x:c r="Z174" s="12" t="str">
        <x:v>2.6.44</x:v>
      </x:c>
      <x:c r="AA174" s="12" t="str">
        <x:v>Frete base × percentual; aplicar frete mínimo quando maior. Bloco percentual ativado; controle visual passivo.</x:v>
      </x:c>
    </x:row>
    <x:row r="175">
      <x:c r="A175" s="14" t="str">
        <x:v>REG_0174</x:v>
      </x:c>
      <x:c r="B175" s="14" t="str">
        <x:v>FENIX</x:v>
      </x:c>
      <x:c r="C175" s="14" t="str">
        <x:v>ORIGEM ANANINDEUA</x:v>
      </x:c>
      <x:c r="D175" s="14" t="str">
        <x:v>Santarém</x:v>
      </x:c>
      <x:c r="E175" s="14" t="str">
        <x:v>PA</x:v>
      </x:c>
      <x:c r="F175" s="14" t="str">
        <x:v>33%</x:v>
      </x:c>
      <x:c r="G175" s="14" t="n">
        <x:v>92</x:v>
      </x:c>
      <x:c r="H175" s="14" t="str">
        <x:v>8 a 10 dias / revisar</x:v>
      </x:c>
      <x:c r="I175" s="14" t="str">
        <x:v>doc20621020260704143141.pdf</x:v>
      </x:c>
      <x:c r="J175" s="14" t="str">
        <x:v>1</x:v>
      </x:c>
      <x:c r="K175" s="14" t="str">
        <x:v>REVISAR_OK</x:v>
      </x:c>
      <x:c r="L175"/>
      <x:c r="M175"/>
      <x:c r="N175"/>
      <x:c r="O175"/>
      <x:c r="P175"/>
      <x:c r="Q175"/>
      <x:c r="R175"/>
      <x:c r="S175"/>
      <x:c r="T175"/>
      <x:c r="U175"/>
      <x:c r="V175" t="str">
        <x:v>SIM</x:v>
      </x:c>
      <x:c r="W175" t="str">
        <x:v>FÊNIX</x:v>
      </x:c>
      <x:c r="X175" s="12" t="str">
        <x:v>PERCENTUAL</x:v>
      </x:c>
      <x:c r="Y175" s="12"/>
      <x:c r="Z175" s="12" t="str">
        <x:v>2.6.44</x:v>
      </x:c>
      <x:c r="AA175" s="12" t="str">
        <x:v>Frete base × percentual; aplicar frete mínimo quando maior. Bloco percentual ativado; controle visual passivo.</x:v>
      </x:c>
    </x:row>
    <x:row r="176">
      <x:c r="A176" s="14" t="str">
        <x:v>REG_0175</x:v>
      </x:c>
      <x:c r="B176" s="14" t="str">
        <x:v>FENIX</x:v>
      </x:c>
      <x:c r="C176" s="14" t="str">
        <x:v>ORIGEM ANANINDEUA</x:v>
      </x:c>
      <x:c r="D176" s="14" t="str">
        <x:v>Itaituba</x:v>
      </x:c>
      <x:c r="E176" s="14" t="str">
        <x:v>PA</x:v>
      </x:c>
      <x:c r="F176" s="14" t="str">
        <x:v>40%</x:v>
      </x:c>
      <x:c r="G176" s="14" t="n">
        <x:v>138</x:v>
      </x:c>
      <x:c r="H176" s="14" t="str">
        <x:v>8 a 10 dias / revisar</x:v>
      </x:c>
      <x:c r="I176" s="14" t="str">
        <x:v>doc20621020260704143141.pdf</x:v>
      </x:c>
      <x:c r="J176" s="14" t="str">
        <x:v>1</x:v>
      </x:c>
      <x:c r="K176" s="14" t="str">
        <x:v>REVISAR_OK</x:v>
      </x:c>
      <x:c r="L176"/>
      <x:c r="M176"/>
      <x:c r="N176"/>
      <x:c r="O176"/>
      <x:c r="P176"/>
      <x:c r="Q176"/>
      <x:c r="R176"/>
      <x:c r="S176"/>
      <x:c r="T176"/>
      <x:c r="U176"/>
      <x:c r="V176" t="str">
        <x:v>SIM</x:v>
      </x:c>
      <x:c r="W176" t="str">
        <x:v>FÊNIX</x:v>
      </x:c>
      <x:c r="X176" s="12" t="str">
        <x:v>PERCENTUAL</x:v>
      </x:c>
      <x:c r="Y176" s="12"/>
      <x:c r="Z176" s="12" t="str">
        <x:v>2.6.44</x:v>
      </x:c>
      <x:c r="AA176" s="12" t="str">
        <x:v>Frete base × percentual; aplicar frete mínimo quando maior. Bloco percentual ativado; controle visual passivo.</x:v>
      </x:c>
    </x:row>
    <x:row r="177">
      <x:c r="A177" s="14" t="str">
        <x:v>REG_0176</x:v>
      </x:c>
      <x:c r="B177" s="14" t="str">
        <x:v>FENIX</x:v>
      </x:c>
      <x:c r="C177" s="14" t="str">
        <x:v>ORIGEM ANANINDEUA</x:v>
      </x:c>
      <x:c r="D177" s="14" t="str">
        <x:v>Alenquer</x:v>
      </x:c>
      <x:c r="E177" s="14" t="str">
        <x:v>PA</x:v>
      </x:c>
      <x:c r="F177" s="14" t="str">
        <x:v>40%</x:v>
      </x:c>
      <x:c r="G177" s="14" t="n">
        <x:v>138</x:v>
      </x:c>
      <x:c r="H177" s="14" t="str">
        <x:v>8 a 10 dias / revisar</x:v>
      </x:c>
      <x:c r="I177" s="14" t="str">
        <x:v>doc20621020260704143141.pdf</x:v>
      </x:c>
      <x:c r="J177" s="14" t="str">
        <x:v>1</x:v>
      </x:c>
      <x:c r="K177" s="14" t="str">
        <x:v>REVISAR_OK</x:v>
      </x:c>
      <x:c r="L177"/>
      <x:c r="M177"/>
      <x:c r="N177"/>
      <x:c r="O177"/>
      <x:c r="P177"/>
      <x:c r="Q177"/>
      <x:c r="R177"/>
      <x:c r="S177"/>
      <x:c r="T177"/>
      <x:c r="U177"/>
      <x:c r="V177" t="str">
        <x:v>SIM</x:v>
      </x:c>
      <x:c r="W177" t="str">
        <x:v>FÊNIX</x:v>
      </x:c>
      <x:c r="X177" s="12" t="str">
        <x:v>PERCENTUAL</x:v>
      </x:c>
      <x:c r="Y177" s="12"/>
      <x:c r="Z177" s="12" t="str">
        <x:v>2.6.44</x:v>
      </x:c>
      <x:c r="AA177" s="12" t="str">
        <x:v>Frete base × percentual; aplicar frete mínimo quando maior. Bloco percentual ativado; controle visual passivo.</x:v>
      </x:c>
    </x:row>
    <x:row r="178">
      <x:c r="A178" s="14" t="str">
        <x:v>REG_0177</x:v>
      </x:c>
      <x:c r="B178" s="14" t="str">
        <x:v>FENIX</x:v>
      </x:c>
      <x:c r="C178" s="14" t="str">
        <x:v>ORIGEM ANANINDEUA</x:v>
      </x:c>
      <x:c r="D178" s="14" t="str">
        <x:v>Oriximiná</x:v>
      </x:c>
      <x:c r="E178" s="14" t="str">
        <x:v>PA</x:v>
      </x:c>
      <x:c r="F178" s="14" t="str">
        <x:v>40%</x:v>
      </x:c>
      <x:c r="G178" s="14" t="n">
        <x:v>138</x:v>
      </x:c>
      <x:c r="H178" s="14" t="str">
        <x:v>8 a 10 dias / revisar</x:v>
      </x:c>
      <x:c r="I178" s="14" t="str">
        <x:v>doc20621020260704143141.pdf</x:v>
      </x:c>
      <x:c r="J178" s="14" t="str">
        <x:v>1</x:v>
      </x:c>
      <x:c r="K178" s="14" t="str">
        <x:v>REVISAR_OK</x:v>
      </x:c>
      <x:c r="L178"/>
      <x:c r="M178"/>
      <x:c r="N178"/>
      <x:c r="O178"/>
      <x:c r="P178"/>
      <x:c r="Q178"/>
      <x:c r="R178"/>
      <x:c r="S178"/>
      <x:c r="T178"/>
      <x:c r="U178"/>
      <x:c r="V178" t="str">
        <x:v>SIM</x:v>
      </x:c>
      <x:c r="W178" t="str">
        <x:v>FÊNIX</x:v>
      </x:c>
      <x:c r="X178" s="12" t="str">
        <x:v>PERCENTUAL</x:v>
      </x:c>
      <x:c r="Y178" s="12"/>
      <x:c r="Z178" s="12" t="str">
        <x:v>2.6.44</x:v>
      </x:c>
      <x:c r="AA178" s="12" t="str">
        <x:v>Frete base × percentual; aplicar frete mínimo quando maior. Bloco percentual ativado; controle visual passivo.</x:v>
      </x:c>
    </x:row>
    <x:row r="179">
      <x:c r="A179" s="14" t="str">
        <x:v>REG_0178</x:v>
      </x:c>
      <x:c r="B179" s="14" t="str">
        <x:v>FENIX</x:v>
      </x:c>
      <x:c r="C179" s="14" t="str">
        <x:v>ORIGEM ANANINDEUA</x:v>
      </x:c>
      <x:c r="D179" s="14" t="str">
        <x:v>Óbidos</x:v>
      </x:c>
      <x:c r="E179" s="14" t="str">
        <x:v>PA</x:v>
      </x:c>
      <x:c r="F179" s="14" t="str">
        <x:v>40%</x:v>
      </x:c>
      <x:c r="G179" s="14" t="n">
        <x:v>138</x:v>
      </x:c>
      <x:c r="H179" s="14" t="str">
        <x:v>8 a 10 dias / revisar</x:v>
      </x:c>
      <x:c r="I179" s="14" t="str">
        <x:v>doc20621020260704143141.pdf</x:v>
      </x:c>
      <x:c r="J179" s="14" t="str">
        <x:v>1</x:v>
      </x:c>
      <x:c r="K179" s="14" t="str">
        <x:v>REVISAR_OK</x:v>
      </x:c>
      <x:c r="L179"/>
      <x:c r="M179"/>
      <x:c r="N179"/>
      <x:c r="O179"/>
      <x:c r="P179"/>
      <x:c r="Q179"/>
      <x:c r="R179"/>
      <x:c r="S179"/>
      <x:c r="T179"/>
      <x:c r="U179"/>
      <x:c r="V179" t="str">
        <x:v>SIM</x:v>
      </x:c>
      <x:c r="W179" t="str">
        <x:v>FÊNIX</x:v>
      </x:c>
      <x:c r="X179" s="12" t="str">
        <x:v>PERCENTUAL</x:v>
      </x:c>
      <x:c r="Y179" s="12"/>
      <x:c r="Z179" s="12" t="str">
        <x:v>2.6.44</x:v>
      </x:c>
      <x:c r="AA179" s="12" t="str">
        <x:v>Frete base × percentual; aplicar frete mínimo quando maior. Bloco percentual ativado; controle visual passivo.</x:v>
      </x:c>
    </x:row>
    <x:row r="180">
      <x:c r="A180" s="14" t="str">
        <x:v>REG_0179</x:v>
      </x:c>
      <x:c r="B180" s="14" t="str">
        <x:v>FENIX</x:v>
      </x:c>
      <x:c r="C180" s="14" t="str">
        <x:v>ORIGEM ANANINDEUA</x:v>
      </x:c>
      <x:c r="D180" s="14" t="str">
        <x:v>Novo Progresso</x:v>
      </x:c>
      <x:c r="E180" s="14" t="str">
        <x:v>PA</x:v>
      </x:c>
      <x:c r="F180" s="14" t="str">
        <x:v>40%</x:v>
      </x:c>
      <x:c r="G180" s="14" t="n">
        <x:v>138</x:v>
      </x:c>
      <x:c r="H180" s="14" t="str">
        <x:v>8 a 10 dias / revisar</x:v>
      </x:c>
      <x:c r="I180" s="14" t="str">
        <x:v>doc20621020260704143141.pdf</x:v>
      </x:c>
      <x:c r="J180" s="14" t="str">
        <x:v>1</x:v>
      </x:c>
      <x:c r="K180" s="14" t="str">
        <x:v>REVISAR_OK</x:v>
      </x:c>
      <x:c r="L180"/>
      <x:c r="M180"/>
      <x:c r="N180"/>
      <x:c r="O180"/>
      <x:c r="P180"/>
      <x:c r="Q180"/>
      <x:c r="R180"/>
      <x:c r="S180"/>
      <x:c r="T180"/>
      <x:c r="U180"/>
      <x:c r="V180" t="str">
        <x:v>SIM</x:v>
      </x:c>
      <x:c r="W180" t="str">
        <x:v>FÊNIX</x:v>
      </x:c>
      <x:c r="X180" s="12" t="str">
        <x:v>PERCENTUAL</x:v>
      </x:c>
      <x:c r="Y180" s="12"/>
      <x:c r="Z180" s="12" t="str">
        <x:v>2.6.44</x:v>
      </x:c>
      <x:c r="AA180" s="12" t="str">
        <x:v>Frete base × percentual; aplicar frete mínimo quando maior. Bloco percentual ativado; controle visual passivo.</x:v>
      </x:c>
    </x:row>
    <x:row r="181">
      <x:c r="A181" s="14" t="str">
        <x:v>REG_0180</x:v>
      </x:c>
      <x:c r="B181" s="14" t="str">
        <x:v>FENIX</x:v>
      </x:c>
      <x:c r="C181" s="14" t="str">
        <x:v>ORIGEM ANANINDEUA</x:v>
      </x:c>
      <x:c r="D181" s="14" t="str">
        <x:v>Juruti</x:v>
      </x:c>
      <x:c r="E181" s="14" t="str">
        <x:v>PA</x:v>
      </x:c>
      <x:c r="F181" s="14" t="str">
        <x:v>40%</x:v>
      </x:c>
      <x:c r="G181" s="14" t="n">
        <x:v>138</x:v>
      </x:c>
      <x:c r="H181" s="14" t="str">
        <x:v>8 a 10 dias / revisar</x:v>
      </x:c>
      <x:c r="I181" s="14" t="str">
        <x:v>doc20621020260704143141.pdf</x:v>
      </x:c>
      <x:c r="J181" s="14" t="str">
        <x:v>1</x:v>
      </x:c>
      <x:c r="K181" s="14" t="str">
        <x:v>REVISAR_OK</x:v>
      </x:c>
      <x:c r="L181"/>
      <x:c r="M181"/>
      <x:c r="N181"/>
      <x:c r="O181"/>
      <x:c r="P181"/>
      <x:c r="Q181"/>
      <x:c r="R181"/>
      <x:c r="S181"/>
      <x:c r="T181"/>
      <x:c r="U181"/>
      <x:c r="V181" t="str">
        <x:v>SIM</x:v>
      </x:c>
      <x:c r="W181" t="str">
        <x:v>FÊNIX</x:v>
      </x:c>
      <x:c r="X181" s="12" t="str">
        <x:v>PERCENTUAL</x:v>
      </x:c>
      <x:c r="Y181" s="12"/>
      <x:c r="Z181" s="12" t="str">
        <x:v>2.6.44</x:v>
      </x:c>
      <x:c r="AA181" s="12" t="str">
        <x:v>Frete base × percentual; aplicar frete mínimo quando maior. Bloco percentual ativado; controle visual passivo.</x:v>
      </x:c>
    </x:row>
    <x:row r="182">
      <x:c r="A182" s="14" t="str">
        <x:v>REG_0181</x:v>
      </x:c>
      <x:c r="B182" s="14" t="str">
        <x:v>FENIX</x:v>
      </x:c>
      <x:c r="C182" s="14" t="str">
        <x:v>ORIGEM ANANINDEUA</x:v>
      </x:c>
      <x:c r="D182" s="14" t="str">
        <x:v>Terra Santa</x:v>
      </x:c>
      <x:c r="E182" s="14" t="str">
        <x:v>PA</x:v>
      </x:c>
      <x:c r="F182" s="14" t="str">
        <x:v>40%</x:v>
      </x:c>
      <x:c r="G182" s="14" t="n">
        <x:v>138</x:v>
      </x:c>
      <x:c r="H182" s="14" t="str">
        <x:v>8 a 10 dias / revisar</x:v>
      </x:c>
      <x:c r="I182" s="14" t="str">
        <x:v>doc20621020260704143141.pdf</x:v>
      </x:c>
      <x:c r="J182" s="14" t="str">
        <x:v>1</x:v>
      </x:c>
      <x:c r="K182" s="14" t="str">
        <x:v>REVISAR_OK</x:v>
      </x:c>
      <x:c r="L182"/>
      <x:c r="M182"/>
      <x:c r="N182"/>
      <x:c r="O182"/>
      <x:c r="P182"/>
      <x:c r="Q182"/>
      <x:c r="R182"/>
      <x:c r="S182"/>
      <x:c r="T182"/>
      <x:c r="U182"/>
      <x:c r="V182" t="str">
        <x:v>SIM</x:v>
      </x:c>
      <x:c r="W182" t="str">
        <x:v>FÊNIX</x:v>
      </x:c>
      <x:c r="X182" s="12" t="str">
        <x:v>PERCENTUAL</x:v>
      </x:c>
      <x:c r="Y182" s="12"/>
      <x:c r="Z182" s="12" t="str">
        <x:v>2.6.44</x:v>
      </x:c>
      <x:c r="AA182" s="12" t="str">
        <x:v>Frete base × percentual; aplicar frete mínimo quando maior. Bloco percentual ativado; controle visual passivo.</x:v>
      </x:c>
    </x:row>
    <x:row r="183">
      <x:c r="A183" s="14" t="str">
        <x:v>REG_0182</x:v>
      </x:c>
      <x:c r="B183" s="14" t="str">
        <x:v>FENIX</x:v>
      </x:c>
      <x:c r="C183" s="14" t="str">
        <x:v>ORIGEM ANANINDEUA</x:v>
      </x:c>
      <x:c r="D183" s="14" t="str">
        <x:v>Faro</x:v>
      </x:c>
      <x:c r="E183" s="14" t="str">
        <x:v>PA</x:v>
      </x:c>
      <x:c r="F183" s="14" t="str">
        <x:v>40%</x:v>
      </x:c>
      <x:c r="G183" s="14" t="n">
        <x:v>138</x:v>
      </x:c>
      <x:c r="H183" s="14" t="str">
        <x:v>8 a 10 dias / revisar</x:v>
      </x:c>
      <x:c r="I183" s="14" t="str">
        <x:v>doc20621020260704143141.pdf</x:v>
      </x:c>
      <x:c r="J183" s="14" t="str">
        <x:v>1</x:v>
      </x:c>
      <x:c r="K183" s="14" t="str">
        <x:v>REVISAR_OK</x:v>
      </x:c>
      <x:c r="L183"/>
      <x:c r="M183"/>
      <x:c r="N183"/>
      <x:c r="O183"/>
      <x:c r="P183"/>
      <x:c r="Q183"/>
      <x:c r="R183"/>
      <x:c r="S183"/>
      <x:c r="T183"/>
      <x:c r="U183"/>
      <x:c r="V183" t="str">
        <x:v>SIM</x:v>
      </x:c>
      <x:c r="W183" t="str">
        <x:v>FÊNIX</x:v>
      </x:c>
      <x:c r="X183" s="12" t="str">
        <x:v>PERCENTUAL</x:v>
      </x:c>
      <x:c r="Y183" s="12"/>
      <x:c r="Z183" s="12" t="str">
        <x:v>2.6.44</x:v>
      </x:c>
      <x:c r="AA183" s="12" t="str">
        <x:v>Frete base × percentual; aplicar frete mínimo quando maior. Bloco percentual ativado; controle visual passivo.</x:v>
      </x:c>
    </x:row>
    <x:row r="184">
      <x:c r="A184" s="14" t="str">
        <x:v>REG_0183</x:v>
      </x:c>
      <x:c r="B184" s="14" t="str">
        <x:v>FENIX</x:v>
      </x:c>
      <x:c r="C184" s="14" t="str">
        <x:v>ORIGEM ANANINDEUA</x:v>
      </x:c>
      <x:c r="D184" s="14" t="str">
        <x:v>Placas</x:v>
      </x:c>
      <x:c r="E184" s="14" t="str">
        <x:v>PA</x:v>
      </x:c>
      <x:c r="F184" s="14" t="str">
        <x:v>40%</x:v>
      </x:c>
      <x:c r="G184" s="14" t="n">
        <x:v>138</x:v>
      </x:c>
      <x:c r="H184" s="14" t="str">
        <x:v>8 a 10 dias / revisar</x:v>
      </x:c>
      <x:c r="I184" s="14" t="str">
        <x:v>doc20621020260704143141.pdf</x:v>
      </x:c>
      <x:c r="J184" s="14" t="str">
        <x:v>1</x:v>
      </x:c>
      <x:c r="K184" s="14" t="str">
        <x:v>REVISAR_OK</x:v>
      </x:c>
      <x:c r="L184"/>
      <x:c r="M184"/>
      <x:c r="N184"/>
      <x:c r="O184"/>
      <x:c r="P184"/>
      <x:c r="Q184"/>
      <x:c r="R184"/>
      <x:c r="S184"/>
      <x:c r="T184"/>
      <x:c r="U184"/>
      <x:c r="V184" t="str">
        <x:v>SIM</x:v>
      </x:c>
      <x:c r="W184" t="str">
        <x:v>FÊNIX</x:v>
      </x:c>
      <x:c r="X184" s="12" t="str">
        <x:v>PERCENTUAL</x:v>
      </x:c>
      <x:c r="Y184" s="12"/>
      <x:c r="Z184" s="12" t="str">
        <x:v>2.6.44</x:v>
      </x:c>
      <x:c r="AA184" s="12" t="str">
        <x:v>Frete base × percentual; aplicar frete mínimo quando maior. Bloco percentual ativado; controle visual passivo.</x:v>
      </x:c>
    </x:row>
    <x:row r="185">
      <x:c r="A185" s="14" t="str">
        <x:v>REG_0184</x:v>
      </x:c>
      <x:c r="B185" s="14" t="str">
        <x:v>FENIX</x:v>
      </x:c>
      <x:c r="C185" s="14" t="str">
        <x:v>ORIGEM ANANINDEUA</x:v>
      </x:c>
      <x:c r="D185" s="14" t="str">
        <x:v>Aveiro</x:v>
      </x:c>
      <x:c r="E185" s="14" t="str">
        <x:v>PA</x:v>
      </x:c>
      <x:c r="F185" s="14" t="str">
        <x:v>40%</x:v>
      </x:c>
      <x:c r="G185" s="14" t="n">
        <x:v>138</x:v>
      </x:c>
      <x:c r="H185" s="14" t="str">
        <x:v>8 a 10 dias / revisar</x:v>
      </x:c>
      <x:c r="I185" s="14" t="str">
        <x:v>doc20621020260704143141.pdf</x:v>
      </x:c>
      <x:c r="J185" s="14" t="str">
        <x:v>1</x:v>
      </x:c>
      <x:c r="K185" s="14" t="str">
        <x:v>REVISAR_OK</x:v>
      </x:c>
      <x:c r="L185"/>
      <x:c r="M185"/>
      <x:c r="N185"/>
      <x:c r="O185"/>
      <x:c r="P185"/>
      <x:c r="Q185"/>
      <x:c r="R185"/>
      <x:c r="S185"/>
      <x:c r="T185"/>
      <x:c r="U185"/>
      <x:c r="V185" t="str">
        <x:v>SIM</x:v>
      </x:c>
      <x:c r="W185" t="str">
        <x:v>FÊNIX</x:v>
      </x:c>
      <x:c r="X185" s="12" t="str">
        <x:v>PERCENTUAL</x:v>
      </x:c>
      <x:c r="Y185" s="12"/>
      <x:c r="Z185" s="12" t="str">
        <x:v>2.6.44</x:v>
      </x:c>
      <x:c r="AA185" s="12" t="str">
        <x:v>Frete base × percentual; aplicar frete mínimo quando maior. Bloco percentual ativado; controle visual passivo.</x:v>
      </x:c>
    </x:row>
    <x:row r="186">
      <x:c r="A186" s="14" t="str">
        <x:v>REG_0185</x:v>
      </x:c>
      <x:c r="B186" s="14" t="str">
        <x:v>FENIX</x:v>
      </x:c>
      <x:c r="C186" s="14" t="str">
        <x:v>ORIGEM ANANINDEUA</x:v>
      </x:c>
      <x:c r="D186" s="14" t="str">
        <x:v>Belterra</x:v>
      </x:c>
      <x:c r="E186" s="14" t="str">
        <x:v>PA</x:v>
      </x:c>
      <x:c r="F186" s="14" t="str">
        <x:v>40%</x:v>
      </x:c>
      <x:c r="G186" s="14" t="n">
        <x:v>138</x:v>
      </x:c>
      <x:c r="H186" s="14" t="str">
        <x:v>8 a 10 dias / revisar</x:v>
      </x:c>
      <x:c r="I186" s="14" t="str">
        <x:v>doc20621020260704143141.pdf</x:v>
      </x:c>
      <x:c r="J186" s="14" t="str">
        <x:v>1</x:v>
      </x:c>
      <x:c r="K186" s="14" t="str">
        <x:v>REVISAR_OK</x:v>
      </x:c>
      <x:c r="L186"/>
      <x:c r="M186"/>
      <x:c r="N186"/>
      <x:c r="O186"/>
      <x:c r="P186"/>
      <x:c r="Q186"/>
      <x:c r="R186"/>
      <x:c r="S186"/>
      <x:c r="T186"/>
      <x:c r="U186"/>
      <x:c r="V186" t="str">
        <x:v>SIM</x:v>
      </x:c>
      <x:c r="W186" t="str">
        <x:v>FÊNIX</x:v>
      </x:c>
      <x:c r="X186" s="12" t="str">
        <x:v>PERCENTUAL</x:v>
      </x:c>
      <x:c r="Y186" s="12"/>
      <x:c r="Z186" s="12" t="str">
        <x:v>2.6.44</x:v>
      </x:c>
      <x:c r="AA186" s="12" t="str">
        <x:v>Frete base × percentual; aplicar frete mínimo quando maior. Bloco percentual ativado; controle visual passivo.</x:v>
      </x:c>
    </x:row>
    <x:row r="187">
      <x:c r="A187" s="14" t="str">
        <x:v>REG_0186</x:v>
      </x:c>
      <x:c r="B187" s="14" t="str">
        <x:v>FENIX</x:v>
      </x:c>
      <x:c r="C187" s="14" t="str">
        <x:v>ORIGEM ANANINDEUA</x:v>
      </x:c>
      <x:c r="D187" s="14" t="str">
        <x:v>Rurópolis</x:v>
      </x:c>
      <x:c r="E187" s="14" t="str">
        <x:v>PA</x:v>
      </x:c>
      <x:c r="F187" s="14" t="str">
        <x:v>40%</x:v>
      </x:c>
      <x:c r="G187" s="14" t="n">
        <x:v>138</x:v>
      </x:c>
      <x:c r="H187" s="14" t="str">
        <x:v>8 a 10 dias / revisar</x:v>
      </x:c>
      <x:c r="I187" s="14" t="str">
        <x:v>doc20621020260704143141.pdf</x:v>
      </x:c>
      <x:c r="J187" s="14" t="str">
        <x:v>1</x:v>
      </x:c>
      <x:c r="K187" s="14" t="str">
        <x:v>REVISAR_OK</x:v>
      </x:c>
      <x:c r="L187"/>
      <x:c r="M187"/>
      <x:c r="N187"/>
      <x:c r="O187"/>
      <x:c r="P187"/>
      <x:c r="Q187"/>
      <x:c r="R187"/>
      <x:c r="S187"/>
      <x:c r="T187"/>
      <x:c r="U187"/>
      <x:c r="V187" t="str">
        <x:v>SIM</x:v>
      </x:c>
      <x:c r="W187" t="str">
        <x:v>FÊNIX</x:v>
      </x:c>
      <x:c r="X187" s="12" t="str">
        <x:v>PERCENTUAL</x:v>
      </x:c>
      <x:c r="Y187" s="12"/>
      <x:c r="Z187" s="12" t="str">
        <x:v>2.6.44</x:v>
      </x:c>
      <x:c r="AA187" s="12" t="str">
        <x:v>Frete base × percentual; aplicar frete mínimo quando maior. Bloco percentual ativado; controle visual passivo.</x:v>
      </x:c>
    </x:row>
    <x:row r="188">
      <x:c r="A188" s="12" t="str">
        <x:v>REG_RODOTEC_0188</x:v>
      </x:c>
      <x:c r="B188" s="12" t="str">
        <x:v>W_S_TRANSPORTES</x:v>
      </x:c>
      <x:c r="C188" s="12" t="str">
        <x:v>RODOTEC RO POLO EIXO</x:v>
      </x:c>
      <x:c r="D188" s="12" t="str">
        <x:v>Porto Velho</x:v>
      </x:c>
      <x:c r="E188" s="12" t="str">
        <x:v>RO</x:v>
      </x:c>
      <x:c r="F188" s="12" t="str">
        <x:v>25%</x:v>
      </x:c>
      <x:c r="G188" s="12" t="n">
        <x:v>80</x:v>
      </x:c>
      <x:c r="H188" s="12"/>
      <x:c r="I188" s="12" t="str">
        <x:v>rodotec.pdf</x:v>
      </x:c>
      <x:c r="J188" s="12" t="str">
        <x:v>1</x:v>
      </x:c>
      <x:c r="K188" s="12" t="str">
        <x:v>REVISAR_OK</x:v>
      </x:c>
      <x:c r="L188" t="n">
        <x:v>690</x:v>
      </x:c>
      <x:c r="M188" t="str">
        <x:v>ROTA RODOVIARIO</x:v>
      </x:c>
      <x:c r="N188" t="str">
        <x:v>27/02/2026</x:v>
      </x:c>
      <x:c r="O188"/>
      <x:c r="P188" t="str">
        <x:v>SEM_ICMS</x:v>
      </x:c>
      <x:c r="Q188" t="str">
        <x:v>SIM</x:v>
      </x:c>
      <x:c r="R188" t="str">
        <x:v>0,02%</x:v>
      </x:c>
      <x:c r="S188" t="str">
        <x:v>SIM</x:v>
      </x:c>
      <x:c r="T188" t="str">
        <x:v>3,50</x:v>
      </x:c>
      <x:c r="U188" t="str">
        <x:v>100</x:v>
      </x:c>
      <x:c r="V188" t="str">
        <x:v>SIM</x:v>
      </x:c>
      <x:c r="W188" t="str">
        <x:v>RODOTEC</x:v>
      </x:c>
      <x:c r="X188" s="12" t="str">
        <x:v>KG_TON</x:v>
      </x:c>
      <x:c r="Y188" s="12" t="str">
        <x:v>KG</x:v>
      </x:c>
      <x:c r="Z188" s="12" t="str">
        <x:v>2.6.43</x:v>
      </x:c>
      <x:c r="AA188" s="12" t="str">
        <x:v>Frete por kg/tonelada + GRIS/Pedágio opcionais conforme XML.</x:v>
      </x:c>
    </x:row>
    <x:row r="189">
      <x:c r="A189" s="12" t="str">
        <x:v>REG_RODOTEC_0189</x:v>
      </x:c>
      <x:c r="B189" s="12" t="str">
        <x:v>W_S_TRANSPORTES</x:v>
      </x:c>
      <x:c r="C189" s="12" t="str">
        <x:v>RODOTEC RO POLO EIXO</x:v>
      </x:c>
      <x:c r="D189" s="12" t="str">
        <x:v>Ariquemes</x:v>
      </x:c>
      <x:c r="E189" s="12" t="str">
        <x:v>RO</x:v>
      </x:c>
      <x:c r="F189" s="12" t="str">
        <x:v>30%</x:v>
      </x:c>
      <x:c r="G189" s="12" t="n">
        <x:v>100</x:v>
      </x:c>
      <x:c r="H189" s="12"/>
      <x:c r="I189" s="12" t="str">
        <x:v>rodotec.pdf</x:v>
      </x:c>
      <x:c r="J189" s="12" t="str">
        <x:v>1</x:v>
      </x:c>
      <x:c r="K189" s="12" t="str">
        <x:v>REVISAR_OK</x:v>
      </x:c>
      <x:c r="L189" t="n">
        <x:v>690</x:v>
      </x:c>
      <x:c r="M189" t="str">
        <x:v>ROTA RODOVIARIO</x:v>
      </x:c>
      <x:c r="N189" t="str">
        <x:v>27/02/2026</x:v>
      </x:c>
      <x:c r="O189"/>
      <x:c r="P189" t="str">
        <x:v>SEM_ICMS</x:v>
      </x:c>
      <x:c r="Q189" t="str">
        <x:v>SIM</x:v>
      </x:c>
      <x:c r="R189" t="str">
        <x:v>0,02%</x:v>
      </x:c>
      <x:c r="S189" t="str">
        <x:v>SIM</x:v>
      </x:c>
      <x:c r="T189" t="str">
        <x:v>3,50</x:v>
      </x:c>
      <x:c r="U189" t="str">
        <x:v>100</x:v>
      </x:c>
      <x:c r="V189" t="str">
        <x:v>SIM</x:v>
      </x:c>
      <x:c r="W189" t="str">
        <x:v>RODOTEC</x:v>
      </x:c>
      <x:c r="X189" s="12" t="str">
        <x:v>KG_TON</x:v>
      </x:c>
      <x:c r="Y189" s="12" t="str">
        <x:v>KG</x:v>
      </x:c>
      <x:c r="Z189" s="12" t="str">
        <x:v>2.6.43</x:v>
      </x:c>
      <x:c r="AA189" s="12" t="str">
        <x:v>Frete por kg/tonelada + GRIS/Pedágio opcionais conforme XML.</x:v>
      </x:c>
    </x:row>
    <x:row r="190">
      <x:c r="A190" s="12" t="str">
        <x:v>REG_RODOTEC_0190</x:v>
      </x:c>
      <x:c r="B190" s="12" t="str">
        <x:v>W_S_TRANSPORTES</x:v>
      </x:c>
      <x:c r="C190" s="12" t="str">
        <x:v>RODOTEC RO POLO EIXO</x:v>
      </x:c>
      <x:c r="D190" s="12" t="str">
        <x:v>Jaru</x:v>
      </x:c>
      <x:c r="E190" s="12" t="str">
        <x:v>RO</x:v>
      </x:c>
      <x:c r="F190" s="12" t="str">
        <x:v>30%</x:v>
      </x:c>
      <x:c r="G190" s="12" t="n">
        <x:v>100</x:v>
      </x:c>
      <x:c r="H190" s="12"/>
      <x:c r="I190" s="12" t="str">
        <x:v>rodotec.pdf</x:v>
      </x:c>
      <x:c r="J190" s="12" t="str">
        <x:v>1</x:v>
      </x:c>
      <x:c r="K190" s="12" t="str">
        <x:v>REVISAR_OK</x:v>
      </x:c>
      <x:c r="L190" t="n">
        <x:v>690</x:v>
      </x:c>
      <x:c r="M190" t="str">
        <x:v>ROTA RODOVIARIO</x:v>
      </x:c>
      <x:c r="N190" t="str">
        <x:v>27/02/2026</x:v>
      </x:c>
      <x:c r="O190"/>
      <x:c r="P190" t="str">
        <x:v>SEM_ICMS</x:v>
      </x:c>
      <x:c r="Q190" t="str">
        <x:v>SIM</x:v>
      </x:c>
      <x:c r="R190" t="str">
        <x:v>0,02%</x:v>
      </x:c>
      <x:c r="S190" t="str">
        <x:v>SIM</x:v>
      </x:c>
      <x:c r="T190" t="str">
        <x:v>3,50</x:v>
      </x:c>
      <x:c r="U190" t="str">
        <x:v>100</x:v>
      </x:c>
      <x:c r="V190" t="str">
        <x:v>SIM</x:v>
      </x:c>
      <x:c r="W190" t="str">
        <x:v>RODOTEC</x:v>
      </x:c>
      <x:c r="X190" s="12" t="str">
        <x:v>KG_TON</x:v>
      </x:c>
      <x:c r="Y190" s="12" t="str">
        <x:v>KG</x:v>
      </x:c>
      <x:c r="Z190" s="12" t="str">
        <x:v>2.6.43</x:v>
      </x:c>
      <x:c r="AA190" s="12" t="str">
        <x:v>Frete por kg/tonelada + GRIS/Pedágio opcionais conforme XML.</x:v>
      </x:c>
    </x:row>
    <x:row r="191">
      <x:c r="A191" s="12" t="str">
        <x:v>REG_RODOTEC_0191</x:v>
      </x:c>
      <x:c r="B191" s="12" t="str">
        <x:v>W_S_TRANSPORTES</x:v>
      </x:c>
      <x:c r="C191" s="12" t="str">
        <x:v>RODOTEC RO POLO EIXO</x:v>
      </x:c>
      <x:c r="D191" s="12" t="str">
        <x:v>Ouro Preto do Oeste</x:v>
      </x:c>
      <x:c r="E191" s="12" t="str">
        <x:v>RO</x:v>
      </x:c>
      <x:c r="F191" s="12" t="str">
        <x:v>30%</x:v>
      </x:c>
      <x:c r="G191" s="12" t="n">
        <x:v>100</x:v>
      </x:c>
      <x:c r="H191" s="12"/>
      <x:c r="I191" s="12" t="str">
        <x:v>rodotec.pdf</x:v>
      </x:c>
      <x:c r="J191" s="12" t="str">
        <x:v>1</x:v>
      </x:c>
      <x:c r="K191" s="12" t="str">
        <x:v>REVISAR_OK</x:v>
      </x:c>
      <x:c r="L191" t="n">
        <x:v>690</x:v>
      </x:c>
      <x:c r="M191" t="str">
        <x:v>ROTA RODOVIARIO</x:v>
      </x:c>
      <x:c r="N191" t="str">
        <x:v>27/02/2026</x:v>
      </x:c>
      <x:c r="O191"/>
      <x:c r="P191" t="str">
        <x:v>SEM_ICMS</x:v>
      </x:c>
      <x:c r="Q191" t="str">
        <x:v>SIM</x:v>
      </x:c>
      <x:c r="R191" t="str">
        <x:v>0,02%</x:v>
      </x:c>
      <x:c r="S191" t="str">
        <x:v>SIM</x:v>
      </x:c>
      <x:c r="T191" t="str">
        <x:v>3,50</x:v>
      </x:c>
      <x:c r="U191" t="str">
        <x:v>100</x:v>
      </x:c>
      <x:c r="V191" t="str">
        <x:v>SIM</x:v>
      </x:c>
      <x:c r="W191" t="str">
        <x:v>RODOTEC</x:v>
      </x:c>
      <x:c r="X191" s="12" t="str">
        <x:v>KG_TON</x:v>
      </x:c>
      <x:c r="Y191" s="12" t="str">
        <x:v>KG</x:v>
      </x:c>
      <x:c r="Z191" s="12" t="str">
        <x:v>2.6.43</x:v>
      </x:c>
      <x:c r="AA191" s="12" t="str">
        <x:v>Frete por kg/tonelada + GRIS/Pedágio opcionais conforme XML.</x:v>
      </x:c>
    </x:row>
    <x:row r="192">
      <x:c r="A192" s="12" t="str">
        <x:v>REG_RODOTEC_0192</x:v>
      </x:c>
      <x:c r="B192" s="12" t="str">
        <x:v>W_S_TRANSPORTES</x:v>
      </x:c>
      <x:c r="C192" s="12" t="str">
        <x:v>RODOTEC RO POLO EIXO</x:v>
      </x:c>
      <x:c r="D192" s="12" t="str">
        <x:v>Ji-Paraná</x:v>
      </x:c>
      <x:c r="E192" s="12" t="str">
        <x:v>RO</x:v>
      </x:c>
      <x:c r="F192" s="12" t="str">
        <x:v>30%</x:v>
      </x:c>
      <x:c r="G192" s="12" t="n">
        <x:v>100</x:v>
      </x:c>
      <x:c r="H192" s="12"/>
      <x:c r="I192" s="12" t="str">
        <x:v>rodotec.pdf</x:v>
      </x:c>
      <x:c r="J192" s="12" t="str">
        <x:v>1</x:v>
      </x:c>
      <x:c r="K192" s="12" t="str">
        <x:v>REVISAR_OK</x:v>
      </x:c>
      <x:c r="L192" t="n">
        <x:v>690</x:v>
      </x:c>
      <x:c r="M192" t="str">
        <x:v>ROTA RODOVIARIO</x:v>
      </x:c>
      <x:c r="N192" t="str">
        <x:v>27/02/2026</x:v>
      </x:c>
      <x:c r="O192"/>
      <x:c r="P192" t="str">
        <x:v>SEM_ICMS</x:v>
      </x:c>
      <x:c r="Q192" t="str">
        <x:v>SIM</x:v>
      </x:c>
      <x:c r="R192" t="str">
        <x:v>0,02%</x:v>
      </x:c>
      <x:c r="S192" t="str">
        <x:v>SIM</x:v>
      </x:c>
      <x:c r="T192" t="str">
        <x:v>3,50</x:v>
      </x:c>
      <x:c r="U192" t="str">
        <x:v>100</x:v>
      </x:c>
      <x:c r="V192" t="str">
        <x:v>SIM</x:v>
      </x:c>
      <x:c r="W192" t="str">
        <x:v>RODOTEC</x:v>
      </x:c>
      <x:c r="X192" s="12" t="str">
        <x:v>KG_TON</x:v>
      </x:c>
      <x:c r="Y192" s="12" t="str">
        <x:v>KG</x:v>
      </x:c>
      <x:c r="Z192" s="12" t="str">
        <x:v>2.6.43</x:v>
      </x:c>
      <x:c r="AA192" s="12" t="str">
        <x:v>Frete por kg/tonelada + GRIS/Pedágio opcionais conforme XML.</x:v>
      </x:c>
    </x:row>
    <x:row r="193">
      <x:c r="A193" s="12" t="str">
        <x:v>REG_RODOTEC_0193</x:v>
      </x:c>
      <x:c r="B193" s="12" t="str">
        <x:v>W_S_TRANSPORTES</x:v>
      </x:c>
      <x:c r="C193" s="12" t="str">
        <x:v>RODOTEC RO POLO EIXO</x:v>
      </x:c>
      <x:c r="D193" s="12" t="str">
        <x:v>Cacoal</x:v>
      </x:c>
      <x:c r="E193" s="12" t="str">
        <x:v>RO</x:v>
      </x:c>
      <x:c r="F193" s="12" t="str">
        <x:v>30%</x:v>
      </x:c>
      <x:c r="G193" s="12" t="n">
        <x:v>100</x:v>
      </x:c>
      <x:c r="H193" s="12"/>
      <x:c r="I193" s="12" t="str">
        <x:v>rodotec.pdf</x:v>
      </x:c>
      <x:c r="J193" s="12" t="str">
        <x:v>1</x:v>
      </x:c>
      <x:c r="K193" s="12" t="str">
        <x:v>REVISAR_OK</x:v>
      </x:c>
      <x:c r="L193" t="n">
        <x:v>690</x:v>
      </x:c>
      <x:c r="M193" t="str">
        <x:v>ROTA RODOVIARIO</x:v>
      </x:c>
      <x:c r="N193" t="str">
        <x:v>27/02/2026</x:v>
      </x:c>
      <x:c r="O193"/>
      <x:c r="P193" t="str">
        <x:v>SEM_ICMS</x:v>
      </x:c>
      <x:c r="Q193" t="str">
        <x:v>SIM</x:v>
      </x:c>
      <x:c r="R193" t="str">
        <x:v>0,02%</x:v>
      </x:c>
      <x:c r="S193" t="str">
        <x:v>SIM</x:v>
      </x:c>
      <x:c r="T193" t="str">
        <x:v>3,50</x:v>
      </x:c>
      <x:c r="U193" t="str">
        <x:v>100</x:v>
      </x:c>
      <x:c r="V193" t="str">
        <x:v>SIM</x:v>
      </x:c>
      <x:c r="W193" t="str">
        <x:v>RODOTEC</x:v>
      </x:c>
      <x:c r="X193" s="12" t="str">
        <x:v>KG_TON</x:v>
      </x:c>
      <x:c r="Y193" s="12" t="str">
        <x:v>KG</x:v>
      </x:c>
      <x:c r="Z193" s="12" t="str">
        <x:v>2.6.43</x:v>
      </x:c>
      <x:c r="AA193" s="12" t="str">
        <x:v>Frete por kg/tonelada + GRIS/Pedágio opcionais conforme XML.</x:v>
      </x:c>
    </x:row>
    <x:row r="194">
      <x:c r="A194" s="12" t="str">
        <x:v>REG_RODOTEC_0194</x:v>
      </x:c>
      <x:c r="B194" s="12" t="str">
        <x:v>W_S_TRANSPORTES</x:v>
      </x:c>
      <x:c r="C194" s="12" t="str">
        <x:v>RODOTEC RO POLO EIXO</x:v>
      </x:c>
      <x:c r="D194" s="12" t="str">
        <x:v>Pimenta Bueno</x:v>
      </x:c>
      <x:c r="E194" s="12" t="str">
        <x:v>RO</x:v>
      </x:c>
      <x:c r="F194" s="12" t="str">
        <x:v>30%</x:v>
      </x:c>
      <x:c r="G194" s="12" t="n">
        <x:v>100</x:v>
      </x:c>
      <x:c r="H194" s="12"/>
      <x:c r="I194" s="12" t="str">
        <x:v>rodotec.pdf</x:v>
      </x:c>
      <x:c r="J194" s="12" t="str">
        <x:v>1</x:v>
      </x:c>
      <x:c r="K194" s="12" t="str">
        <x:v>REVISAR_OK</x:v>
      </x:c>
      <x:c r="L194" t="n">
        <x:v>690</x:v>
      </x:c>
      <x:c r="M194" t="str">
        <x:v>ROTA RODOVIARIO</x:v>
      </x:c>
      <x:c r="N194" t="str">
        <x:v>27/02/2026</x:v>
      </x:c>
      <x:c r="O194"/>
      <x:c r="P194" t="str">
        <x:v>SEM_ICMS</x:v>
      </x:c>
      <x:c r="Q194" t="str">
        <x:v>SIM</x:v>
      </x:c>
      <x:c r="R194" t="str">
        <x:v>0,02%</x:v>
      </x:c>
      <x:c r="S194" t="str">
        <x:v>SIM</x:v>
      </x:c>
      <x:c r="T194" t="str">
        <x:v>3,50</x:v>
      </x:c>
      <x:c r="U194" t="str">
        <x:v>100</x:v>
      </x:c>
      <x:c r="V194" t="str">
        <x:v>SIM</x:v>
      </x:c>
      <x:c r="W194" t="str">
        <x:v>RODOTEC</x:v>
      </x:c>
      <x:c r="X194" s="12" t="str">
        <x:v>KG_TON</x:v>
      </x:c>
      <x:c r="Y194" s="12" t="str">
        <x:v>KG</x:v>
      </x:c>
      <x:c r="Z194" s="12" t="str">
        <x:v>2.6.43</x:v>
      </x:c>
      <x:c r="AA194" s="12" t="str">
        <x:v>Frete por kg/tonelada + GRIS/Pedágio opcionais conforme XML.</x:v>
      </x:c>
    </x:row>
    <x:row r="195">
      <x:c r="A195" s="12" t="str">
        <x:v>REG_RODOTEC_0195</x:v>
      </x:c>
      <x:c r="B195" s="12" t="str">
        <x:v>W_S_TRANSPORTES</x:v>
      </x:c>
      <x:c r="C195" s="12" t="str">
        <x:v>RODOTEC RO POLO EIXO</x:v>
      </x:c>
      <x:c r="D195" s="12" t="str">
        <x:v>Vilhena</x:v>
      </x:c>
      <x:c r="E195" s="12" t="str">
        <x:v>RO</x:v>
      </x:c>
      <x:c r="F195" s="12" t="str">
        <x:v>30%</x:v>
      </x:c>
      <x:c r="G195" s="12" t="n">
        <x:v>100</x:v>
      </x:c>
      <x:c r="H195" s="12"/>
      <x:c r="I195" s="12" t="str">
        <x:v>rodotec.pdf</x:v>
      </x:c>
      <x:c r="J195" s="12" t="str">
        <x:v>1</x:v>
      </x:c>
      <x:c r="K195" s="12" t="str">
        <x:v>REVISAR_OK</x:v>
      </x:c>
      <x:c r="L195" t="n">
        <x:v>690</x:v>
      </x:c>
      <x:c r="M195" t="str">
        <x:v>ROTA RODOVIARIO</x:v>
      </x:c>
      <x:c r="N195" t="str">
        <x:v>27/02/2026</x:v>
      </x:c>
      <x:c r="O195"/>
      <x:c r="P195" t="str">
        <x:v>SEM_ICMS</x:v>
      </x:c>
      <x:c r="Q195" t="str">
        <x:v>SIM</x:v>
      </x:c>
      <x:c r="R195" t="str">
        <x:v>0,02%</x:v>
      </x:c>
      <x:c r="S195" t="str">
        <x:v>SIM</x:v>
      </x:c>
      <x:c r="T195" t="str">
        <x:v>3,50</x:v>
      </x:c>
      <x:c r="U195" t="str">
        <x:v>100</x:v>
      </x:c>
      <x:c r="V195" t="str">
        <x:v>SIM</x:v>
      </x:c>
      <x:c r="W195" t="str">
        <x:v>RODOTEC</x:v>
      </x:c>
      <x:c r="X195" s="12" t="str">
        <x:v>KG_TON</x:v>
      </x:c>
      <x:c r="Y195" s="12" t="str">
        <x:v>KG</x:v>
      </x:c>
      <x:c r="Z195" s="12" t="str">
        <x:v>2.6.43</x:v>
      </x:c>
      <x:c r="AA195" s="12" t="str">
        <x:v>Frete por kg/tonelada + GRIS/Pedágio opcionais conforme XML.</x:v>
      </x:c>
    </x:row>
    <x:row r="196">
      <x:c r="A196" s="12" t="str">
        <x:v>REG_RODOTEC_0196</x:v>
      </x:c>
      <x:c r="B196" s="12" t="str">
        <x:v>W_S_TRANSPORTES</x:v>
      </x:c>
      <x:c r="C196" s="12" t="str">
        <x:v>RODOTEC RO INTERIOR</x:v>
      </x:c>
      <x:c r="D196" s="12" t="str">
        <x:v>Alta Floresta d'Oeste</x:v>
      </x:c>
      <x:c r="E196" s="12" t="str">
        <x:v>RO</x:v>
      </x:c>
      <x:c r="F196" s="12" t="str">
        <x:v>30%</x:v>
      </x:c>
      <x:c r="G196" s="12" t="n">
        <x:v>100</x:v>
      </x:c>
      <x:c r="H196" s="12"/>
      <x:c r="I196" s="12" t="str">
        <x:v>rodotec.pdf</x:v>
      </x:c>
      <x:c r="J196" s="12" t="str">
        <x:v>1</x:v>
      </x:c>
      <x:c r="K196" s="12" t="str">
        <x:v>REVISAR_OK</x:v>
      </x:c>
      <x:c r="L196" t="n">
        <x:v>720</x:v>
      </x:c>
      <x:c r="M196" t="str">
        <x:v>ROTA RODOVIARIO</x:v>
      </x:c>
      <x:c r="N196" t="str">
        <x:v>27/02/2026</x:v>
      </x:c>
      <x:c r="O196"/>
      <x:c r="P196" t="str">
        <x:v>SEM_ICMS</x:v>
      </x:c>
      <x:c r="Q196" t="str">
        <x:v>SIM</x:v>
      </x:c>
      <x:c r="R196" t="str">
        <x:v>0,02%</x:v>
      </x:c>
      <x:c r="S196" t="str">
        <x:v>SIM</x:v>
      </x:c>
      <x:c r="T196" t="str">
        <x:v>3,50</x:v>
      </x:c>
      <x:c r="U196" t="str">
        <x:v>100</x:v>
      </x:c>
      <x:c r="V196" t="str">
        <x:v>SIM</x:v>
      </x:c>
      <x:c r="W196" t="str">
        <x:v>RODOTEC</x:v>
      </x:c>
      <x:c r="X196" s="12" t="str">
        <x:v>KG_TON</x:v>
      </x:c>
      <x:c r="Y196" s="12" t="str">
        <x:v>KG</x:v>
      </x:c>
      <x:c r="Z196" s="12" t="str">
        <x:v>2.6.43</x:v>
      </x:c>
      <x:c r="AA196" s="12" t="str">
        <x:v>Frete por kg/tonelada + GRIS/Pedágio opcionais conforme XML.</x:v>
      </x:c>
    </x:row>
    <x:row r="197">
      <x:c r="A197" s="12" t="str">
        <x:v>REG_RODOTEC_0197</x:v>
      </x:c>
      <x:c r="B197" s="12" t="str">
        <x:v>W_S_TRANSPORTES</x:v>
      </x:c>
      <x:c r="C197" s="12" t="str">
        <x:v>RODOTEC RO DISTRITO</x:v>
      </x:c>
      <x:c r="D197" s="12" t="str">
        <x:v>Abunã</x:v>
      </x:c>
      <x:c r="E197" s="12" t="str">
        <x:v>RO</x:v>
      </x:c>
      <x:c r="F197" s="12" t="str">
        <x:v>30%</x:v>
      </x:c>
      <x:c r="G197" s="12" t="n">
        <x:v>100</x:v>
      </x:c>
      <x:c r="H197" s="12"/>
      <x:c r="I197" s="12" t="str">
        <x:v>rodotec.pdf</x:v>
      </x:c>
      <x:c r="J197" s="12" t="str">
        <x:v>1</x:v>
      </x:c>
      <x:c r="K197" s="12" t="str">
        <x:v>REVISAR_OK</x:v>
      </x:c>
      <x:c r="L197" t="n">
        <x:v>720</x:v>
      </x:c>
      <x:c r="M197" t="str">
        <x:v>ROTA RODOVIARIO</x:v>
      </x:c>
      <x:c r="N197" t="str">
        <x:v>27/02/2026</x:v>
      </x:c>
      <x:c r="O197"/>
      <x:c r="P197" t="str">
        <x:v>SEM_ICMS</x:v>
      </x:c>
      <x:c r="Q197" t="str">
        <x:v>SIM</x:v>
      </x:c>
      <x:c r="R197" t="str">
        <x:v>0,02%</x:v>
      </x:c>
      <x:c r="S197" t="str">
        <x:v>SIM</x:v>
      </x:c>
      <x:c r="T197" t="str">
        <x:v>3,50</x:v>
      </x:c>
      <x:c r="U197" t="str">
        <x:v>100</x:v>
      </x:c>
      <x:c r="V197" t="str">
        <x:v>SIM</x:v>
      </x:c>
      <x:c r="W197" t="str">
        <x:v>RODOTEC</x:v>
      </x:c>
      <x:c r="X197" s="12" t="str">
        <x:v>KG_TON</x:v>
      </x:c>
      <x:c r="Y197" s="12" t="str">
        <x:v>KG</x:v>
      </x:c>
      <x:c r="Z197" s="12" t="str">
        <x:v>2.6.43</x:v>
      </x:c>
      <x:c r="AA197" s="12" t="str">
        <x:v>Frete por kg/tonelada + GRIS/Pedágio opcionais conforme XML.</x:v>
      </x:c>
    </x:row>
    <x:row r="198">
      <x:c r="A198" s="12" t="str">
        <x:v>REG_RODOTEC_0198</x:v>
      </x:c>
      <x:c r="B198" s="12" t="str">
        <x:v>W_S_TRANSPORTES</x:v>
      </x:c>
      <x:c r="C198" s="12" t="str">
        <x:v>RODOTEC RO INTERIOR</x:v>
      </x:c>
      <x:c r="D198" s="12" t="str">
        <x:v>Alto Alegre do Parecis</x:v>
      </x:c>
      <x:c r="E198" s="12" t="str">
        <x:v>RO</x:v>
      </x:c>
      <x:c r="F198" s="12" t="str">
        <x:v>30%</x:v>
      </x:c>
      <x:c r="G198" s="12" t="n">
        <x:v>100</x:v>
      </x:c>
      <x:c r="H198" s="12"/>
      <x:c r="I198" s="12" t="str">
        <x:v>rodotec.pdf</x:v>
      </x:c>
      <x:c r="J198" s="12" t="str">
        <x:v>1</x:v>
      </x:c>
      <x:c r="K198" s="12" t="str">
        <x:v>REVISAR_OK</x:v>
      </x:c>
      <x:c r="L198" t="n">
        <x:v>720</x:v>
      </x:c>
      <x:c r="M198" t="str">
        <x:v>ROTA RODOVIARIO</x:v>
      </x:c>
      <x:c r="N198" t="str">
        <x:v>27/02/2026</x:v>
      </x:c>
      <x:c r="O198"/>
      <x:c r="P198" t="str">
        <x:v>SEM_ICMS</x:v>
      </x:c>
      <x:c r="Q198" t="str">
        <x:v>SIM</x:v>
      </x:c>
      <x:c r="R198" t="str">
        <x:v>0,02%</x:v>
      </x:c>
      <x:c r="S198" t="str">
        <x:v>SIM</x:v>
      </x:c>
      <x:c r="T198" t="str">
        <x:v>3,50</x:v>
      </x:c>
      <x:c r="U198" t="str">
        <x:v>100</x:v>
      </x:c>
      <x:c r="V198" t="str">
        <x:v>SIM</x:v>
      </x:c>
      <x:c r="W198" t="str">
        <x:v>RODOTEC</x:v>
      </x:c>
      <x:c r="X198" s="12" t="str">
        <x:v>KG_TON</x:v>
      </x:c>
      <x:c r="Y198" s="12" t="str">
        <x:v>KG</x:v>
      </x:c>
      <x:c r="Z198" s="12" t="str">
        <x:v>2.6.43</x:v>
      </x:c>
      <x:c r="AA198" s="12" t="str">
        <x:v>Frete por kg/tonelada + GRIS/Pedágio opcionais conforme XML.</x:v>
      </x:c>
    </x:row>
    <x:row r="199">
      <x:c r="A199" s="12" t="str">
        <x:v>REG_RODOTEC_0199</x:v>
      </x:c>
      <x:c r="B199" s="12" t="str">
        <x:v>W_S_TRANSPORTES</x:v>
      </x:c>
      <x:c r="C199" s="12" t="str">
        <x:v>RODOTEC RO INTERIOR</x:v>
      </x:c>
      <x:c r="D199" s="12" t="str">
        <x:v>Alto Paraíso</x:v>
      </x:c>
      <x:c r="E199" s="12" t="str">
        <x:v>RO</x:v>
      </x:c>
      <x:c r="F199" s="12" t="str">
        <x:v>30%</x:v>
      </x:c>
      <x:c r="G199" s="12" t="n">
        <x:v>100</x:v>
      </x:c>
      <x:c r="H199" s="12"/>
      <x:c r="I199" s="12" t="str">
        <x:v>rodotec.pdf</x:v>
      </x:c>
      <x:c r="J199" s="12" t="str">
        <x:v>1</x:v>
      </x:c>
      <x:c r="K199" s="12" t="str">
        <x:v>REVISAR_OK</x:v>
      </x:c>
      <x:c r="L199" t="n">
        <x:v>720</x:v>
      </x:c>
      <x:c r="M199" t="str">
        <x:v>ROTA RODOVIARIO</x:v>
      </x:c>
      <x:c r="N199" t="str">
        <x:v>27/02/2026</x:v>
      </x:c>
      <x:c r="O199"/>
      <x:c r="P199" t="str">
        <x:v>SEM_ICMS</x:v>
      </x:c>
      <x:c r="Q199" t="str">
        <x:v>SIM</x:v>
      </x:c>
      <x:c r="R199" t="str">
        <x:v>0,02%</x:v>
      </x:c>
      <x:c r="S199" t="str">
        <x:v>SIM</x:v>
      </x:c>
      <x:c r="T199" t="str">
        <x:v>3,50</x:v>
      </x:c>
      <x:c r="U199" t="str">
        <x:v>100</x:v>
      </x:c>
      <x:c r="V199" t="str">
        <x:v>SIM</x:v>
      </x:c>
      <x:c r="W199" t="str">
        <x:v>RODOTEC</x:v>
      </x:c>
      <x:c r="X199" s="12" t="str">
        <x:v>KG_TON</x:v>
      </x:c>
      <x:c r="Y199" s="12" t="str">
        <x:v>KG</x:v>
      </x:c>
      <x:c r="Z199" s="12" t="str">
        <x:v>2.6.43</x:v>
      </x:c>
      <x:c r="AA199" s="12" t="str">
        <x:v>Frete por kg/tonelada + GRIS/Pedágio opcionais conforme XML.</x:v>
      </x:c>
    </x:row>
    <x:row r="200">
      <x:c r="A200" s="12" t="str">
        <x:v>REG_RODOTEC_0200</x:v>
      </x:c>
      <x:c r="B200" s="12" t="str">
        <x:v>W_S_TRANSPORTES</x:v>
      </x:c>
      <x:c r="C200" s="12" t="str">
        <x:v>RODOTEC RO INTERIOR</x:v>
      </x:c>
      <x:c r="D200" s="12" t="str">
        <x:v>Alvorada d'Oeste</x:v>
      </x:c>
      <x:c r="E200" s="12" t="str">
        <x:v>RO</x:v>
      </x:c>
      <x:c r="F200" s="12" t="str">
        <x:v>30%</x:v>
      </x:c>
      <x:c r="G200" s="12" t="n">
        <x:v>100</x:v>
      </x:c>
      <x:c r="H200" s="12"/>
      <x:c r="I200" s="12" t="str">
        <x:v>rodotec.pdf</x:v>
      </x:c>
      <x:c r="J200" s="12" t="str">
        <x:v>1</x:v>
      </x:c>
      <x:c r="K200" s="12" t="str">
        <x:v>REVISAR_OK</x:v>
      </x:c>
      <x:c r="L200" t="n">
        <x:v>720</x:v>
      </x:c>
      <x:c r="M200" t="str">
        <x:v>ROTA RODOVIARIO</x:v>
      </x:c>
      <x:c r="N200" t="str">
        <x:v>27/02/2026</x:v>
      </x:c>
      <x:c r="O200"/>
      <x:c r="P200" t="str">
        <x:v>SEM_ICMS</x:v>
      </x:c>
      <x:c r="Q200" t="str">
        <x:v>SIM</x:v>
      </x:c>
      <x:c r="R200" t="str">
        <x:v>0,02%</x:v>
      </x:c>
      <x:c r="S200" t="str">
        <x:v>SIM</x:v>
      </x:c>
      <x:c r="T200" t="str">
        <x:v>3,50</x:v>
      </x:c>
      <x:c r="U200" t="str">
        <x:v>100</x:v>
      </x:c>
      <x:c r="V200" t="str">
        <x:v>SIM</x:v>
      </x:c>
      <x:c r="W200" t="str">
        <x:v>RODOTEC</x:v>
      </x:c>
      <x:c r="X200" s="12" t="str">
        <x:v>KG_TON</x:v>
      </x:c>
      <x:c r="Y200" s="12" t="str">
        <x:v>KG</x:v>
      </x:c>
      <x:c r="Z200" s="12" t="str">
        <x:v>2.6.43</x:v>
      </x:c>
      <x:c r="AA200" s="12" t="str">
        <x:v>Frete por kg/tonelada + GRIS/Pedágio opcionais conforme XML.</x:v>
      </x:c>
    </x:row>
    <x:row r="201">
      <x:c r="A201" s="12" t="str">
        <x:v>REG_RODOTEC_0201</x:v>
      </x:c>
      <x:c r="B201" s="12" t="str">
        <x:v>W_S_TRANSPORTES</x:v>
      </x:c>
      <x:c r="C201" s="12" t="str">
        <x:v>RODOTEC RO INTERIOR</x:v>
      </x:c>
      <x:c r="D201" s="12" t="str">
        <x:v>Buritis</x:v>
      </x:c>
      <x:c r="E201" s="12" t="str">
        <x:v>RO</x:v>
      </x:c>
      <x:c r="F201" s="12" t="str">
        <x:v>30%</x:v>
      </x:c>
      <x:c r="G201" s="12" t="n">
        <x:v>100</x:v>
      </x:c>
      <x:c r="H201" s="12"/>
      <x:c r="I201" s="12" t="str">
        <x:v>rodotec.pdf</x:v>
      </x:c>
      <x:c r="J201" s="12" t="str">
        <x:v>1</x:v>
      </x:c>
      <x:c r="K201" s="12" t="str">
        <x:v>REVISAR_OK</x:v>
      </x:c>
      <x:c r="L201" t="n">
        <x:v>720</x:v>
      </x:c>
      <x:c r="M201" t="str">
        <x:v>ROTA RODOVIARIO</x:v>
      </x:c>
      <x:c r="N201" t="str">
        <x:v>27/02/2026</x:v>
      </x:c>
      <x:c r="O201"/>
      <x:c r="P201" t="str">
        <x:v>SEM_ICMS</x:v>
      </x:c>
      <x:c r="Q201" t="str">
        <x:v>SIM</x:v>
      </x:c>
      <x:c r="R201" t="str">
        <x:v>0,02%</x:v>
      </x:c>
      <x:c r="S201" t="str">
        <x:v>SIM</x:v>
      </x:c>
      <x:c r="T201" t="str">
        <x:v>3,50</x:v>
      </x:c>
      <x:c r="U201" t="str">
        <x:v>100</x:v>
      </x:c>
      <x:c r="V201" t="str">
        <x:v>SIM</x:v>
      </x:c>
      <x:c r="W201" t="str">
        <x:v>RODOTEC</x:v>
      </x:c>
      <x:c r="X201" s="12" t="str">
        <x:v>KG_TON</x:v>
      </x:c>
      <x:c r="Y201" s="12" t="str">
        <x:v>KG</x:v>
      </x:c>
      <x:c r="Z201" s="12" t="str">
        <x:v>2.6.43</x:v>
      </x:c>
      <x:c r="AA201" s="12" t="str">
        <x:v>Frete por kg/tonelada + GRIS/Pedágio opcionais conforme XML.</x:v>
      </x:c>
    </x:row>
    <x:row r="202">
      <x:c r="A202" s="12" t="str">
        <x:v>REG_RODOTEC_0202</x:v>
      </x:c>
      <x:c r="B202" s="12" t="str">
        <x:v>W_S_TRANSPORTES</x:v>
      </x:c>
      <x:c r="C202" s="12" t="str">
        <x:v>RODOTEC RO INTERIOR</x:v>
      </x:c>
      <x:c r="D202" s="12" t="str">
        <x:v>Cabixi</x:v>
      </x:c>
      <x:c r="E202" s="12" t="str">
        <x:v>RO</x:v>
      </x:c>
      <x:c r="F202" s="12" t="str">
        <x:v>30%</x:v>
      </x:c>
      <x:c r="G202" s="12" t="n">
        <x:v>100</x:v>
      </x:c>
      <x:c r="H202" s="12"/>
      <x:c r="I202" s="12" t="str">
        <x:v>rodotec.pdf</x:v>
      </x:c>
      <x:c r="J202" s="12" t="str">
        <x:v>1</x:v>
      </x:c>
      <x:c r="K202" s="12" t="str">
        <x:v>REVISAR_OK</x:v>
      </x:c>
      <x:c r="L202" t="n">
        <x:v>720</x:v>
      </x:c>
      <x:c r="M202" t="str">
        <x:v>ROTA RODOVIARIO</x:v>
      </x:c>
      <x:c r="N202" t="str">
        <x:v>27/02/2026</x:v>
      </x:c>
      <x:c r="O202"/>
      <x:c r="P202" t="str">
        <x:v>SEM_ICMS</x:v>
      </x:c>
      <x:c r="Q202" t="str">
        <x:v>SIM</x:v>
      </x:c>
      <x:c r="R202" t="str">
        <x:v>0,02%</x:v>
      </x:c>
      <x:c r="S202" t="str">
        <x:v>SIM</x:v>
      </x:c>
      <x:c r="T202" t="str">
        <x:v>3,50</x:v>
      </x:c>
      <x:c r="U202" t="str">
        <x:v>100</x:v>
      </x:c>
      <x:c r="V202" t="str">
        <x:v>SIM</x:v>
      </x:c>
      <x:c r="W202" t="str">
        <x:v>RODOTEC</x:v>
      </x:c>
      <x:c r="X202" s="12" t="str">
        <x:v>KG_TON</x:v>
      </x:c>
      <x:c r="Y202" s="12" t="str">
        <x:v>KG</x:v>
      </x:c>
      <x:c r="Z202" s="12" t="str">
        <x:v>2.6.43</x:v>
      </x:c>
      <x:c r="AA202" s="12" t="str">
        <x:v>Frete por kg/tonelada + GRIS/Pedágio opcionais conforme XML.</x:v>
      </x:c>
    </x:row>
    <x:row r="203">
      <x:c r="A203" s="12" t="str">
        <x:v>REG_RODOTEC_0203</x:v>
      </x:c>
      <x:c r="B203" s="12" t="str">
        <x:v>W_S_TRANSPORTES</x:v>
      </x:c>
      <x:c r="C203" s="12" t="str">
        <x:v>RODOTEC RO INTERIOR</x:v>
      </x:c>
      <x:c r="D203" s="12" t="str">
        <x:v>Cacaulândia</x:v>
      </x:c>
      <x:c r="E203" s="12" t="str">
        <x:v>RO</x:v>
      </x:c>
      <x:c r="F203" s="12" t="str">
        <x:v>30%</x:v>
      </x:c>
      <x:c r="G203" s="12" t="n">
        <x:v>100</x:v>
      </x:c>
      <x:c r="H203" s="12"/>
      <x:c r="I203" s="12" t="str">
        <x:v>rodotec.pdf</x:v>
      </x:c>
      <x:c r="J203" s="12" t="str">
        <x:v>1</x:v>
      </x:c>
      <x:c r="K203" s="12" t="str">
        <x:v>REVISAR_OK</x:v>
      </x:c>
      <x:c r="L203" t="n">
        <x:v>720</x:v>
      </x:c>
      <x:c r="M203" t="str">
        <x:v>ROTA RODOVIARIO</x:v>
      </x:c>
      <x:c r="N203" t="str">
        <x:v>27/02/2026</x:v>
      </x:c>
      <x:c r="O203"/>
      <x:c r="P203" t="str">
        <x:v>SEM_ICMS</x:v>
      </x:c>
      <x:c r="Q203" t="str">
        <x:v>SIM</x:v>
      </x:c>
      <x:c r="R203" t="str">
        <x:v>0,02%</x:v>
      </x:c>
      <x:c r="S203" t="str">
        <x:v>SIM</x:v>
      </x:c>
      <x:c r="T203" t="str">
        <x:v>3,50</x:v>
      </x:c>
      <x:c r="U203" t="str">
        <x:v>100</x:v>
      </x:c>
      <x:c r="V203" t="str">
        <x:v>SIM</x:v>
      </x:c>
      <x:c r="W203" t="str">
        <x:v>RODOTEC</x:v>
      </x:c>
      <x:c r="X203" s="12" t="str">
        <x:v>KG_TON</x:v>
      </x:c>
      <x:c r="Y203" s="12" t="str">
        <x:v>KG</x:v>
      </x:c>
      <x:c r="Z203" s="12" t="str">
        <x:v>2.6.43</x:v>
      </x:c>
      <x:c r="AA203" s="12" t="str">
        <x:v>Frete por kg/tonelada + GRIS/Pedágio opcionais conforme XML.</x:v>
      </x:c>
    </x:row>
    <x:row r="204">
      <x:c r="A204" s="12" t="str">
        <x:v>REG_RODOTEC_0204</x:v>
      </x:c>
      <x:c r="B204" s="12" t="str">
        <x:v>W_S_TRANSPORTES</x:v>
      </x:c>
      <x:c r="C204" s="12" t="str">
        <x:v>RODOTEC RO INTERIOR</x:v>
      </x:c>
      <x:c r="D204" s="12" t="str">
        <x:v>Campo Novo de Rondônia</x:v>
      </x:c>
      <x:c r="E204" s="12" t="str">
        <x:v>RO</x:v>
      </x:c>
      <x:c r="F204" s="12" t="str">
        <x:v>30%</x:v>
      </x:c>
      <x:c r="G204" s="12" t="n">
        <x:v>100</x:v>
      </x:c>
      <x:c r="H204" s="12"/>
      <x:c r="I204" s="12" t="str">
        <x:v>rodotec.pdf</x:v>
      </x:c>
      <x:c r="J204" s="12" t="str">
        <x:v>1</x:v>
      </x:c>
      <x:c r="K204" s="12" t="str">
        <x:v>REVISAR_OK</x:v>
      </x:c>
      <x:c r="L204" t="n">
        <x:v>720</x:v>
      </x:c>
      <x:c r="M204" t="str">
        <x:v>ROTA RODOVIARIO</x:v>
      </x:c>
      <x:c r="N204" t="str">
        <x:v>27/02/2026</x:v>
      </x:c>
      <x:c r="O204"/>
      <x:c r="P204" t="str">
        <x:v>SEM_ICMS</x:v>
      </x:c>
      <x:c r="Q204" t="str">
        <x:v>SIM</x:v>
      </x:c>
      <x:c r="R204" t="str">
        <x:v>0,02%</x:v>
      </x:c>
      <x:c r="S204" t="str">
        <x:v>SIM</x:v>
      </x:c>
      <x:c r="T204" t="str">
        <x:v>3,50</x:v>
      </x:c>
      <x:c r="U204" t="str">
        <x:v>100</x:v>
      </x:c>
      <x:c r="V204" t="str">
        <x:v>SIM</x:v>
      </x:c>
      <x:c r="W204" t="str">
        <x:v>RODOTEC</x:v>
      </x:c>
      <x:c r="X204" s="12" t="str">
        <x:v>KG_TON</x:v>
      </x:c>
      <x:c r="Y204" s="12" t="str">
        <x:v>KG</x:v>
      </x:c>
      <x:c r="Z204" s="12" t="str">
        <x:v>2.6.43</x:v>
      </x:c>
      <x:c r="AA204" s="12" t="str">
        <x:v>Frete por kg/tonelada + GRIS/Pedágio opcionais conforme XML.</x:v>
      </x:c>
    </x:row>
    <x:row r="205">
      <x:c r="A205" s="12" t="str">
        <x:v>REG_RODOTEC_0205</x:v>
      </x:c>
      <x:c r="B205" s="12" t="str">
        <x:v>W_S_TRANSPORTES</x:v>
      </x:c>
      <x:c r="C205" s="12" t="str">
        <x:v>RODOTEC RO INTERIOR</x:v>
      </x:c>
      <x:c r="D205" s="12" t="str">
        <x:v>Candeias do Jamari</x:v>
      </x:c>
      <x:c r="E205" s="12" t="str">
        <x:v>RO</x:v>
      </x:c>
      <x:c r="F205" s="12" t="str">
        <x:v>30%</x:v>
      </x:c>
      <x:c r="G205" s="12" t="n">
        <x:v>100</x:v>
      </x:c>
      <x:c r="H205" s="12"/>
      <x:c r="I205" s="12" t="str">
        <x:v>rodotec.pdf</x:v>
      </x:c>
      <x:c r="J205" s="12" t="str">
        <x:v>1</x:v>
      </x:c>
      <x:c r="K205" s="12" t="str">
        <x:v>REVISAR_OK</x:v>
      </x:c>
      <x:c r="L205" t="n">
        <x:v>720</x:v>
      </x:c>
      <x:c r="M205" t="str">
        <x:v>ROTA RODOVIARIO</x:v>
      </x:c>
      <x:c r="N205" t="str">
        <x:v>27/02/2026</x:v>
      </x:c>
      <x:c r="O205"/>
      <x:c r="P205" t="str">
        <x:v>SEM_ICMS</x:v>
      </x:c>
      <x:c r="Q205" t="str">
        <x:v>SIM</x:v>
      </x:c>
      <x:c r="R205" t="str">
        <x:v>0,02%</x:v>
      </x:c>
      <x:c r="S205" t="str">
        <x:v>SIM</x:v>
      </x:c>
      <x:c r="T205" t="str">
        <x:v>3,50</x:v>
      </x:c>
      <x:c r="U205" t="str">
        <x:v>100</x:v>
      </x:c>
      <x:c r="V205" t="str">
        <x:v>SIM</x:v>
      </x:c>
      <x:c r="W205" t="str">
        <x:v>RODOTEC</x:v>
      </x:c>
      <x:c r="X205" s="12" t="str">
        <x:v>KG_TON</x:v>
      </x:c>
      <x:c r="Y205" s="12" t="str">
        <x:v>KG</x:v>
      </x:c>
      <x:c r="Z205" s="12" t="str">
        <x:v>2.6.43</x:v>
      </x:c>
      <x:c r="AA205" s="12" t="str">
        <x:v>Frete por kg/tonelada + GRIS/Pedágio opcionais conforme XML.</x:v>
      </x:c>
    </x:row>
    <x:row r="206">
      <x:c r="A206" s="12" t="str">
        <x:v>REG_RODOTEC_0206</x:v>
      </x:c>
      <x:c r="B206" s="12" t="str">
        <x:v>W_S_TRANSPORTES</x:v>
      </x:c>
      <x:c r="C206" s="12" t="str">
        <x:v>RODOTEC RO INTERIOR</x:v>
      </x:c>
      <x:c r="D206" s="12" t="str">
        <x:v>Castanheiras</x:v>
      </x:c>
      <x:c r="E206" s="12" t="str">
        <x:v>RO</x:v>
      </x:c>
      <x:c r="F206" s="12" t="str">
        <x:v>30%</x:v>
      </x:c>
      <x:c r="G206" s="12" t="n">
        <x:v>100</x:v>
      </x:c>
      <x:c r="H206" s="12"/>
      <x:c r="I206" s="12" t="str">
        <x:v>rodotec.pdf</x:v>
      </x:c>
      <x:c r="J206" s="12" t="str">
        <x:v>1</x:v>
      </x:c>
      <x:c r="K206" s="12" t="str">
        <x:v>REVISAR_OK</x:v>
      </x:c>
      <x:c r="L206" t="n">
        <x:v>720</x:v>
      </x:c>
      <x:c r="M206" t="str">
        <x:v>ROTA RODOVIARIO</x:v>
      </x:c>
      <x:c r="N206" t="str">
        <x:v>27/02/2026</x:v>
      </x:c>
      <x:c r="O206"/>
      <x:c r="P206" t="str">
        <x:v>SEM_ICMS</x:v>
      </x:c>
      <x:c r="Q206" t="str">
        <x:v>SIM</x:v>
      </x:c>
      <x:c r="R206" t="str">
        <x:v>0,02%</x:v>
      </x:c>
      <x:c r="S206" t="str">
        <x:v>SIM</x:v>
      </x:c>
      <x:c r="T206" t="str">
        <x:v>3,50</x:v>
      </x:c>
      <x:c r="U206" t="str">
        <x:v>100</x:v>
      </x:c>
      <x:c r="V206" t="str">
        <x:v>SIM</x:v>
      </x:c>
      <x:c r="W206" t="str">
        <x:v>RODOTEC</x:v>
      </x:c>
      <x:c r="X206" s="12" t="str">
        <x:v>KG_TON</x:v>
      </x:c>
      <x:c r="Y206" s="12" t="str">
        <x:v>KG</x:v>
      </x:c>
      <x:c r="Z206" s="12" t="str">
        <x:v>2.6.43</x:v>
      </x:c>
      <x:c r="AA206" s="12" t="str">
        <x:v>Frete por kg/tonelada + GRIS/Pedágio opcionais conforme XML.</x:v>
      </x:c>
    </x:row>
    <x:row r="207">
      <x:c r="A207" s="12" t="str">
        <x:v>REG_RODOTEC_0207</x:v>
      </x:c>
      <x:c r="B207" s="12" t="str">
        <x:v>W_S_TRANSPORTES</x:v>
      </x:c>
      <x:c r="C207" s="12" t="str">
        <x:v>RODOTEC RO INTERIOR</x:v>
      </x:c>
      <x:c r="D207" s="12" t="str">
        <x:v>Cerejeiras</x:v>
      </x:c>
      <x:c r="E207" s="12" t="str">
        <x:v>RO</x:v>
      </x:c>
      <x:c r="F207" s="12" t="str">
        <x:v>30%</x:v>
      </x:c>
      <x:c r="G207" s="12" t="n">
        <x:v>100</x:v>
      </x:c>
      <x:c r="H207" s="12"/>
      <x:c r="I207" s="12" t="str">
        <x:v>rodotec.pdf</x:v>
      </x:c>
      <x:c r="J207" s="12" t="str">
        <x:v>1</x:v>
      </x:c>
      <x:c r="K207" s="12" t="str">
        <x:v>REVISAR_OK</x:v>
      </x:c>
      <x:c r="L207" t="n">
        <x:v>720</x:v>
      </x:c>
      <x:c r="M207" t="str">
        <x:v>ROTA RODOVIARIO</x:v>
      </x:c>
      <x:c r="N207" t="str">
        <x:v>27/02/2026</x:v>
      </x:c>
      <x:c r="O207"/>
      <x:c r="P207" t="str">
        <x:v>SEM_ICMS</x:v>
      </x:c>
      <x:c r="Q207" t="str">
        <x:v>SIM</x:v>
      </x:c>
      <x:c r="R207" t="str">
        <x:v>0,02%</x:v>
      </x:c>
      <x:c r="S207" t="str">
        <x:v>SIM</x:v>
      </x:c>
      <x:c r="T207" t="str">
        <x:v>3,50</x:v>
      </x:c>
      <x:c r="U207" t="str">
        <x:v>100</x:v>
      </x:c>
      <x:c r="V207" t="str">
        <x:v>SIM</x:v>
      </x:c>
      <x:c r="W207" t="str">
        <x:v>RODOTEC</x:v>
      </x:c>
      <x:c r="X207" s="12" t="str">
        <x:v>KG_TON</x:v>
      </x:c>
      <x:c r="Y207" s="12" t="str">
        <x:v>KG</x:v>
      </x:c>
      <x:c r="Z207" s="12" t="str">
        <x:v>2.6.43</x:v>
      </x:c>
      <x:c r="AA207" s="12" t="str">
        <x:v>Frete por kg/tonelada + GRIS/Pedágio opcionais conforme XML.</x:v>
      </x:c>
    </x:row>
    <x:row r="208">
      <x:c r="A208" s="12" t="str">
        <x:v>REG_RODOTEC_0208</x:v>
      </x:c>
      <x:c r="B208" s="12" t="str">
        <x:v>W_S_TRANSPORTES</x:v>
      </x:c>
      <x:c r="C208" s="12" t="str">
        <x:v>RODOTEC RO INTERIOR</x:v>
      </x:c>
      <x:c r="D208" s="12" t="str">
        <x:v>Chupinguaia</x:v>
      </x:c>
      <x:c r="E208" s="12" t="str">
        <x:v>RO</x:v>
      </x:c>
      <x:c r="F208" s="12" t="str">
        <x:v>30%</x:v>
      </x:c>
      <x:c r="G208" s="12" t="n">
        <x:v>100</x:v>
      </x:c>
      <x:c r="H208" s="12"/>
      <x:c r="I208" s="12" t="str">
        <x:v>rodotec.pdf</x:v>
      </x:c>
      <x:c r="J208" s="12" t="str">
        <x:v>1</x:v>
      </x:c>
      <x:c r="K208" s="12" t="str">
        <x:v>REVISAR_OK</x:v>
      </x:c>
      <x:c r="L208" t="n">
        <x:v>720</x:v>
      </x:c>
      <x:c r="M208" t="str">
        <x:v>ROTA RODOVIARIO</x:v>
      </x:c>
      <x:c r="N208" t="str">
        <x:v>27/02/2026</x:v>
      </x:c>
      <x:c r="O208"/>
      <x:c r="P208" t="str">
        <x:v>SEM_ICMS</x:v>
      </x:c>
      <x:c r="Q208" t="str">
        <x:v>SIM</x:v>
      </x:c>
      <x:c r="R208" t="str">
        <x:v>0,02%</x:v>
      </x:c>
      <x:c r="S208" t="str">
        <x:v>SIM</x:v>
      </x:c>
      <x:c r="T208" t="str">
        <x:v>3,50</x:v>
      </x:c>
      <x:c r="U208" t="str">
        <x:v>100</x:v>
      </x:c>
      <x:c r="V208" t="str">
        <x:v>SIM</x:v>
      </x:c>
      <x:c r="W208" t="str">
        <x:v>RODOTEC</x:v>
      </x:c>
      <x:c r="X208" s="12" t="str">
        <x:v>KG_TON</x:v>
      </x:c>
      <x:c r="Y208" s="12" t="str">
        <x:v>KG</x:v>
      </x:c>
      <x:c r="Z208" s="12" t="str">
        <x:v>2.6.43</x:v>
      </x:c>
      <x:c r="AA208" s="12" t="str">
        <x:v>Frete por kg/tonelada + GRIS/Pedágio opcionais conforme XML.</x:v>
      </x:c>
    </x:row>
    <x:row r="209">
      <x:c r="A209" s="12" t="str">
        <x:v>REG_RODOTEC_0209</x:v>
      </x:c>
      <x:c r="B209" s="12" t="str">
        <x:v>W_S_TRANSPORTES</x:v>
      </x:c>
      <x:c r="C209" s="12" t="str">
        <x:v>RODOTEC RO INTERIOR</x:v>
      </x:c>
      <x:c r="D209" s="12" t="str">
        <x:v>Colorado do Oeste</x:v>
      </x:c>
      <x:c r="E209" s="12" t="str">
        <x:v>RO</x:v>
      </x:c>
      <x:c r="F209" s="12" t="str">
        <x:v>30%</x:v>
      </x:c>
      <x:c r="G209" s="12" t="n">
        <x:v>100</x:v>
      </x:c>
      <x:c r="H209" s="12"/>
      <x:c r="I209" s="12" t="str">
        <x:v>rodotec.pdf</x:v>
      </x:c>
      <x:c r="J209" s="12" t="str">
        <x:v>1</x:v>
      </x:c>
      <x:c r="K209" s="12" t="str">
        <x:v>REVISAR_OK</x:v>
      </x:c>
      <x:c r="L209" t="n">
        <x:v>720</x:v>
      </x:c>
      <x:c r="M209" t="str">
        <x:v>ROTA RODOVIARIO</x:v>
      </x:c>
      <x:c r="N209" t="str">
        <x:v>27/02/2026</x:v>
      </x:c>
      <x:c r="O209"/>
      <x:c r="P209" t="str">
        <x:v>SEM_ICMS</x:v>
      </x:c>
      <x:c r="Q209" t="str">
        <x:v>SIM</x:v>
      </x:c>
      <x:c r="R209" t="str">
        <x:v>0,02%</x:v>
      </x:c>
      <x:c r="S209" t="str">
        <x:v>SIM</x:v>
      </x:c>
      <x:c r="T209" t="str">
        <x:v>3,50</x:v>
      </x:c>
      <x:c r="U209" t="str">
        <x:v>100</x:v>
      </x:c>
      <x:c r="V209" t="str">
        <x:v>SIM</x:v>
      </x:c>
      <x:c r="W209" t="str">
        <x:v>RODOTEC</x:v>
      </x:c>
      <x:c r="X209" s="12" t="str">
        <x:v>KG_TON</x:v>
      </x:c>
      <x:c r="Y209" s="12" t="str">
        <x:v>KG</x:v>
      </x:c>
      <x:c r="Z209" s="12" t="str">
        <x:v>2.6.43</x:v>
      </x:c>
      <x:c r="AA209" s="12" t="str">
        <x:v>Frete por kg/tonelada + GRIS/Pedágio opcionais conforme XML.</x:v>
      </x:c>
    </x:row>
    <x:row r="210">
      <x:c r="A210" s="12" t="str">
        <x:v>REG_RODOTEC_0210</x:v>
      </x:c>
      <x:c r="B210" s="12" t="str">
        <x:v>W_S_TRANSPORTES</x:v>
      </x:c>
      <x:c r="C210" s="12" t="str">
        <x:v>RODOTEC RO INTERIOR</x:v>
      </x:c>
      <x:c r="D210" s="12" t="str">
        <x:v>Corumbiara</x:v>
      </x:c>
      <x:c r="E210" s="12" t="str">
        <x:v>RO</x:v>
      </x:c>
      <x:c r="F210" s="12" t="str">
        <x:v>30%</x:v>
      </x:c>
      <x:c r="G210" s="12" t="n">
        <x:v>100</x:v>
      </x:c>
      <x:c r="H210" s="12"/>
      <x:c r="I210" s="12" t="str">
        <x:v>rodotec.pdf</x:v>
      </x:c>
      <x:c r="J210" s="12" t="str">
        <x:v>1</x:v>
      </x:c>
      <x:c r="K210" s="12" t="str">
        <x:v>REVISAR_OK</x:v>
      </x:c>
      <x:c r="L210" t="n">
        <x:v>720</x:v>
      </x:c>
      <x:c r="M210" t="str">
        <x:v>ROTA RODOVIARIO</x:v>
      </x:c>
      <x:c r="N210" t="str">
        <x:v>27/02/2026</x:v>
      </x:c>
      <x:c r="O210"/>
      <x:c r="P210" t="str">
        <x:v>SEM_ICMS</x:v>
      </x:c>
      <x:c r="Q210" t="str">
        <x:v>SIM</x:v>
      </x:c>
      <x:c r="R210" t="str">
        <x:v>0,02%</x:v>
      </x:c>
      <x:c r="S210" t="str">
        <x:v>SIM</x:v>
      </x:c>
      <x:c r="T210" t="str">
        <x:v>3,50</x:v>
      </x:c>
      <x:c r="U210" t="str">
        <x:v>100</x:v>
      </x:c>
      <x:c r="V210" t="str">
        <x:v>SIM</x:v>
      </x:c>
      <x:c r="W210" t="str">
        <x:v>RODOTEC</x:v>
      </x:c>
      <x:c r="X210" s="12" t="str">
        <x:v>KG_TON</x:v>
      </x:c>
      <x:c r="Y210" s="12" t="str">
        <x:v>KG</x:v>
      </x:c>
      <x:c r="Z210" s="12" t="str">
        <x:v>2.6.43</x:v>
      </x:c>
      <x:c r="AA210" s="12" t="str">
        <x:v>Frete por kg/tonelada + GRIS/Pedágio opcionais conforme XML.</x:v>
      </x:c>
    </x:row>
    <x:row r="211">
      <x:c r="A211" s="12" t="str">
        <x:v>REG_RODOTEC_0211</x:v>
      </x:c>
      <x:c r="B211" s="12" t="str">
        <x:v>W_S_TRANSPORTES</x:v>
      </x:c>
      <x:c r="C211" s="12" t="str">
        <x:v>RODOTEC RO INTERIOR</x:v>
      </x:c>
      <x:c r="D211" s="12" t="str">
        <x:v>Costa Marques</x:v>
      </x:c>
      <x:c r="E211" s="12" t="str">
        <x:v>RO</x:v>
      </x:c>
      <x:c r="F211" s="12" t="str">
        <x:v>30%</x:v>
      </x:c>
      <x:c r="G211" s="12" t="n">
        <x:v>100</x:v>
      </x:c>
      <x:c r="H211" s="12"/>
      <x:c r="I211" s="12" t="str">
        <x:v>rodotec.pdf</x:v>
      </x:c>
      <x:c r="J211" s="12" t="str">
        <x:v>1</x:v>
      </x:c>
      <x:c r="K211" s="12" t="str">
        <x:v>REVISAR_OK</x:v>
      </x:c>
      <x:c r="L211" t="n">
        <x:v>720</x:v>
      </x:c>
      <x:c r="M211" t="str">
        <x:v>ROTA RODOVIARIO</x:v>
      </x:c>
      <x:c r="N211" t="str">
        <x:v>27/02/2026</x:v>
      </x:c>
      <x:c r="O211"/>
      <x:c r="P211" t="str">
        <x:v>SEM_ICMS</x:v>
      </x:c>
      <x:c r="Q211" t="str">
        <x:v>SIM</x:v>
      </x:c>
      <x:c r="R211" t="str">
        <x:v>0,02%</x:v>
      </x:c>
      <x:c r="S211" t="str">
        <x:v>SIM</x:v>
      </x:c>
      <x:c r="T211" t="str">
        <x:v>3,50</x:v>
      </x:c>
      <x:c r="U211" t="str">
        <x:v>100</x:v>
      </x:c>
      <x:c r="V211" t="str">
        <x:v>SIM</x:v>
      </x:c>
      <x:c r="W211" t="str">
        <x:v>RODOTEC</x:v>
      </x:c>
      <x:c r="X211" s="12" t="str">
        <x:v>KG_TON</x:v>
      </x:c>
      <x:c r="Y211" s="12" t="str">
        <x:v>KG</x:v>
      </x:c>
      <x:c r="Z211" s="12" t="str">
        <x:v>2.6.43</x:v>
      </x:c>
      <x:c r="AA211" s="12" t="str">
        <x:v>Frete por kg/tonelada + GRIS/Pedágio opcionais conforme XML.</x:v>
      </x:c>
    </x:row>
    <x:row r="212">
      <x:c r="A212" s="12" t="str">
        <x:v>REG_RODOTEC_0212</x:v>
      </x:c>
      <x:c r="B212" s="12" t="str">
        <x:v>W_S_TRANSPORTES</x:v>
      </x:c>
      <x:c r="C212" s="12" t="str">
        <x:v>RODOTEC RO INTERIOR</x:v>
      </x:c>
      <x:c r="D212" s="12" t="str">
        <x:v>Cujubim</x:v>
      </x:c>
      <x:c r="E212" s="12" t="str">
        <x:v>RO</x:v>
      </x:c>
      <x:c r="F212" s="12" t="str">
        <x:v>30%</x:v>
      </x:c>
      <x:c r="G212" s="12" t="n">
        <x:v>100</x:v>
      </x:c>
      <x:c r="H212" s="12"/>
      <x:c r="I212" s="12" t="str">
        <x:v>rodotec.pdf</x:v>
      </x:c>
      <x:c r="J212" s="12" t="str">
        <x:v>1</x:v>
      </x:c>
      <x:c r="K212" s="12" t="str">
        <x:v>REVISAR_OK</x:v>
      </x:c>
      <x:c r="L212" t="n">
        <x:v>720</x:v>
      </x:c>
      <x:c r="M212" t="str">
        <x:v>ROTA RODOVIARIO</x:v>
      </x:c>
      <x:c r="N212" t="str">
        <x:v>27/02/2026</x:v>
      </x:c>
      <x:c r="O212"/>
      <x:c r="P212" t="str">
        <x:v>SEM_ICMS</x:v>
      </x:c>
      <x:c r="Q212" t="str">
        <x:v>SIM</x:v>
      </x:c>
      <x:c r="R212" t="str">
        <x:v>0,02%</x:v>
      </x:c>
      <x:c r="S212" t="str">
        <x:v>SIM</x:v>
      </x:c>
      <x:c r="T212" t="str">
        <x:v>3,50</x:v>
      </x:c>
      <x:c r="U212" t="str">
        <x:v>100</x:v>
      </x:c>
      <x:c r="V212" t="str">
        <x:v>SIM</x:v>
      </x:c>
      <x:c r="W212" t="str">
        <x:v>RODOTEC</x:v>
      </x:c>
      <x:c r="X212" s="12" t="str">
        <x:v>KG_TON</x:v>
      </x:c>
      <x:c r="Y212" s="12" t="str">
        <x:v>KG</x:v>
      </x:c>
      <x:c r="Z212" s="12" t="str">
        <x:v>2.6.43</x:v>
      </x:c>
      <x:c r="AA212" s="12" t="str">
        <x:v>Frete por kg/tonelada + GRIS/Pedágio opcionais conforme XML.</x:v>
      </x:c>
    </x:row>
    <x:row r="213">
      <x:c r="A213" s="12" t="str">
        <x:v>REG_RODOTEC_0213</x:v>
      </x:c>
      <x:c r="B213" s="12" t="str">
        <x:v>W_S_TRANSPORTES</x:v>
      </x:c>
      <x:c r="C213" s="12" t="str">
        <x:v>RODOTEC RO INTERIOR</x:v>
      </x:c>
      <x:c r="D213" s="12" t="str">
        <x:v>Espigão d'Oeste</x:v>
      </x:c>
      <x:c r="E213" s="12" t="str">
        <x:v>RO</x:v>
      </x:c>
      <x:c r="F213" s="12" t="str">
        <x:v>30%</x:v>
      </x:c>
      <x:c r="G213" s="12" t="n">
        <x:v>100</x:v>
      </x:c>
      <x:c r="H213" s="12"/>
      <x:c r="I213" s="12" t="str">
        <x:v>rodotec.pdf</x:v>
      </x:c>
      <x:c r="J213" s="12" t="str">
        <x:v>1</x:v>
      </x:c>
      <x:c r="K213" s="12" t="str">
        <x:v>REVISAR_OK</x:v>
      </x:c>
      <x:c r="L213" t="n">
        <x:v>720</x:v>
      </x:c>
      <x:c r="M213" t="str">
        <x:v>ROTA RODOVIARIO</x:v>
      </x:c>
      <x:c r="N213" t="str">
        <x:v>27/02/2026</x:v>
      </x:c>
      <x:c r="O213"/>
      <x:c r="P213" t="str">
        <x:v>SEM_ICMS</x:v>
      </x:c>
      <x:c r="Q213" t="str">
        <x:v>SIM</x:v>
      </x:c>
      <x:c r="R213" t="str">
        <x:v>0,02%</x:v>
      </x:c>
      <x:c r="S213" t="str">
        <x:v>SIM</x:v>
      </x:c>
      <x:c r="T213" t="str">
        <x:v>3,50</x:v>
      </x:c>
      <x:c r="U213" t="str">
        <x:v>100</x:v>
      </x:c>
      <x:c r="V213" t="str">
        <x:v>SIM</x:v>
      </x:c>
      <x:c r="W213" t="str">
        <x:v>RODOTEC</x:v>
      </x:c>
      <x:c r="X213" s="12" t="str">
        <x:v>KG_TON</x:v>
      </x:c>
      <x:c r="Y213" s="12" t="str">
        <x:v>KG</x:v>
      </x:c>
      <x:c r="Z213" s="12" t="str">
        <x:v>2.6.43</x:v>
      </x:c>
      <x:c r="AA213" s="12" t="str">
        <x:v>Frete por kg/tonelada + GRIS/Pedágio opcionais conforme XML.</x:v>
      </x:c>
    </x:row>
    <x:row r="214">
      <x:c r="A214" s="12" t="str">
        <x:v>REG_RODOTEC_0214</x:v>
      </x:c>
      <x:c r="B214" s="12" t="str">
        <x:v>W_S_TRANSPORTES</x:v>
      </x:c>
      <x:c r="C214" s="12" t="str">
        <x:v>RODOTEC RO INTERIOR</x:v>
      </x:c>
      <x:c r="D214" s="12" t="str">
        <x:v>Extrema</x:v>
      </x:c>
      <x:c r="E214" s="12" t="str">
        <x:v>RO</x:v>
      </x:c>
      <x:c r="F214" s="12" t="str">
        <x:v>30%</x:v>
      </x:c>
      <x:c r="G214" s="12" t="n">
        <x:v>100</x:v>
      </x:c>
      <x:c r="H214" s="12"/>
      <x:c r="I214" s="12" t="str">
        <x:v>rodotec.pdf</x:v>
      </x:c>
      <x:c r="J214" s="12" t="str">
        <x:v>1</x:v>
      </x:c>
      <x:c r="K214" s="12" t="str">
        <x:v>REVISAR_OK</x:v>
      </x:c>
      <x:c r="L214" t="n">
        <x:v>720</x:v>
      </x:c>
      <x:c r="M214" t="str">
        <x:v>ROTA RODOVIARIO</x:v>
      </x:c>
      <x:c r="N214" t="str">
        <x:v>27/02/2026</x:v>
      </x:c>
      <x:c r="O214"/>
      <x:c r="P214" t="str">
        <x:v>SEM_ICMS</x:v>
      </x:c>
      <x:c r="Q214" t="str">
        <x:v>SIM</x:v>
      </x:c>
      <x:c r="R214" t="str">
        <x:v>0,02%</x:v>
      </x:c>
      <x:c r="S214" t="str">
        <x:v>SIM</x:v>
      </x:c>
      <x:c r="T214" t="str">
        <x:v>3,50</x:v>
      </x:c>
      <x:c r="U214" t="str">
        <x:v>100</x:v>
      </x:c>
      <x:c r="V214" t="str">
        <x:v>SIM</x:v>
      </x:c>
      <x:c r="W214" t="str">
        <x:v>RODOTEC</x:v>
      </x:c>
      <x:c r="X214" s="12" t="str">
        <x:v>KG_TON</x:v>
      </x:c>
      <x:c r="Y214" s="12" t="str">
        <x:v>KG</x:v>
      </x:c>
      <x:c r="Z214" s="12" t="str">
        <x:v>2.6.43</x:v>
      </x:c>
      <x:c r="AA214" s="12" t="str">
        <x:v>Frete por kg/tonelada + GRIS/Pedágio opcionais conforme XML.</x:v>
      </x:c>
    </x:row>
    <x:row r="215">
      <x:c r="A215" s="12" t="str">
        <x:v>REG_RODOTEC_0215</x:v>
      </x:c>
      <x:c r="B215" s="12" t="str">
        <x:v>W_S_TRANSPORTES</x:v>
      </x:c>
      <x:c r="C215" s="12" t="str">
        <x:v>RODOTEC RO INTERIOR</x:v>
      </x:c>
      <x:c r="D215" s="12" t="str">
        <x:v>Garimpo Bom Futuro</x:v>
      </x:c>
      <x:c r="E215" s="12" t="str">
        <x:v>RO</x:v>
      </x:c>
      <x:c r="F215" s="12" t="str">
        <x:v>30%</x:v>
      </x:c>
      <x:c r="G215" s="12" t="n">
        <x:v>100</x:v>
      </x:c>
      <x:c r="H215" s="12"/>
      <x:c r="I215" s="12" t="str">
        <x:v>rodotec.pdf</x:v>
      </x:c>
      <x:c r="J215" s="12" t="str">
        <x:v>1</x:v>
      </x:c>
      <x:c r="K215" s="12" t="str">
        <x:v>REVISAR_OK</x:v>
      </x:c>
      <x:c r="L215" t="n">
        <x:v>720</x:v>
      </x:c>
      <x:c r="M215" t="str">
        <x:v>ROTA RODOVIARIO</x:v>
      </x:c>
      <x:c r="N215" t="str">
        <x:v>27/02/2026</x:v>
      </x:c>
      <x:c r="O215"/>
      <x:c r="P215" t="str">
        <x:v>SEM_ICMS</x:v>
      </x:c>
      <x:c r="Q215" t="str">
        <x:v>SIM</x:v>
      </x:c>
      <x:c r="R215" t="str">
        <x:v>0,02%</x:v>
      </x:c>
      <x:c r="S215" t="str">
        <x:v>SIM</x:v>
      </x:c>
      <x:c r="T215" t="str">
        <x:v>3,50</x:v>
      </x:c>
      <x:c r="U215" t="str">
        <x:v>100</x:v>
      </x:c>
      <x:c r="V215" t="str">
        <x:v>SIM</x:v>
      </x:c>
      <x:c r="W215" t="str">
        <x:v>RODOTEC</x:v>
      </x:c>
      <x:c r="X215" s="12" t="str">
        <x:v>KG_TON</x:v>
      </x:c>
      <x:c r="Y215" s="12" t="str">
        <x:v>KG</x:v>
      </x:c>
      <x:c r="Z215" s="12" t="str">
        <x:v>2.6.43</x:v>
      </x:c>
      <x:c r="AA215" s="12" t="str">
        <x:v>Frete por kg/tonelada + GRIS/Pedágio opcionais conforme XML.</x:v>
      </x:c>
    </x:row>
    <x:row r="216">
      <x:c r="A216" s="12" t="str">
        <x:v>REG_RODOTEC_0216</x:v>
      </x:c>
      <x:c r="B216" s="12" t="str">
        <x:v>W_S_TRANSPORTES</x:v>
      </x:c>
      <x:c r="C216" s="12" t="str">
        <x:v>RODOTEC RO INTERIOR</x:v>
      </x:c>
      <x:c r="D216" s="12" t="str">
        <x:v>Gov. Jorge Teixeira</x:v>
      </x:c>
      <x:c r="E216" s="12" t="str">
        <x:v>RO</x:v>
      </x:c>
      <x:c r="F216" s="12" t="str">
        <x:v>30%</x:v>
      </x:c>
      <x:c r="G216" s="12" t="n">
        <x:v>100</x:v>
      </x:c>
      <x:c r="H216" s="12"/>
      <x:c r="I216" s="12" t="str">
        <x:v>rodotec.pdf</x:v>
      </x:c>
      <x:c r="J216" s="12" t="str">
        <x:v>1</x:v>
      </x:c>
      <x:c r="K216" s="12" t="str">
        <x:v>REVISAR_OK</x:v>
      </x:c>
      <x:c r="L216" t="n">
        <x:v>720</x:v>
      </x:c>
      <x:c r="M216" t="str">
        <x:v>ROTA RODOVIARIO</x:v>
      </x:c>
      <x:c r="N216" t="str">
        <x:v>27/02/2026</x:v>
      </x:c>
      <x:c r="O216"/>
      <x:c r="P216" t="str">
        <x:v>SEM_ICMS</x:v>
      </x:c>
      <x:c r="Q216" t="str">
        <x:v>SIM</x:v>
      </x:c>
      <x:c r="R216" t="str">
        <x:v>0,02%</x:v>
      </x:c>
      <x:c r="S216" t="str">
        <x:v>SIM</x:v>
      </x:c>
      <x:c r="T216" t="str">
        <x:v>3,50</x:v>
      </x:c>
      <x:c r="U216" t="str">
        <x:v>100</x:v>
      </x:c>
      <x:c r="V216" t="str">
        <x:v>SIM</x:v>
      </x:c>
      <x:c r="W216" t="str">
        <x:v>RODOTEC</x:v>
      </x:c>
      <x:c r="X216" s="12" t="str">
        <x:v>KG_TON</x:v>
      </x:c>
      <x:c r="Y216" s="12" t="str">
        <x:v>KG</x:v>
      </x:c>
      <x:c r="Z216" s="12" t="str">
        <x:v>2.6.43</x:v>
      </x:c>
      <x:c r="AA216" s="12" t="str">
        <x:v>Frete por kg/tonelada + GRIS/Pedágio opcionais conforme XML.</x:v>
      </x:c>
    </x:row>
    <x:row r="217">
      <x:c r="A217" s="12" t="str">
        <x:v>REG_RODOTEC_0217</x:v>
      </x:c>
      <x:c r="B217" s="12" t="str">
        <x:v>W_S_TRANSPORTES</x:v>
      </x:c>
      <x:c r="C217" s="12" t="str">
        <x:v>RODOTEC RO INTERIOR</x:v>
      </x:c>
      <x:c r="D217" s="12" t="str">
        <x:v>Guajará-Mirim</x:v>
      </x:c>
      <x:c r="E217" s="12" t="str">
        <x:v>RO</x:v>
      </x:c>
      <x:c r="F217" s="12" t="str">
        <x:v>30%</x:v>
      </x:c>
      <x:c r="G217" s="12" t="n">
        <x:v>100</x:v>
      </x:c>
      <x:c r="H217" s="12"/>
      <x:c r="I217" s="12" t="str">
        <x:v>rodotec.pdf</x:v>
      </x:c>
      <x:c r="J217" s="12" t="str">
        <x:v>1</x:v>
      </x:c>
      <x:c r="K217" s="12" t="str">
        <x:v>REVISAR_OK</x:v>
      </x:c>
      <x:c r="L217" t="n">
        <x:v>720</x:v>
      </x:c>
      <x:c r="M217" t="str">
        <x:v>ROTA RODOVIARIO</x:v>
      </x:c>
      <x:c r="N217" t="str">
        <x:v>27/02/2026</x:v>
      </x:c>
      <x:c r="O217"/>
      <x:c r="P217" t="str">
        <x:v>SEM_ICMS</x:v>
      </x:c>
      <x:c r="Q217" t="str">
        <x:v>SIM</x:v>
      </x:c>
      <x:c r="R217" t="str">
        <x:v>0,02%</x:v>
      </x:c>
      <x:c r="S217" t="str">
        <x:v>SIM</x:v>
      </x:c>
      <x:c r="T217" t="str">
        <x:v>3,50</x:v>
      </x:c>
      <x:c r="U217" t="str">
        <x:v>100</x:v>
      </x:c>
      <x:c r="V217" t="str">
        <x:v>SIM</x:v>
      </x:c>
      <x:c r="W217" t="str">
        <x:v>RODOTEC</x:v>
      </x:c>
      <x:c r="X217" s="12" t="str">
        <x:v>KG_TON</x:v>
      </x:c>
      <x:c r="Y217" s="12" t="str">
        <x:v>KG</x:v>
      </x:c>
      <x:c r="Z217" s="12" t="str">
        <x:v>2.6.43</x:v>
      </x:c>
      <x:c r="AA217" s="12" t="str">
        <x:v>Frete por kg/tonelada + GRIS/Pedágio opcionais conforme XML.</x:v>
      </x:c>
    </x:row>
    <x:row r="218">
      <x:c r="A218" s="12" t="str">
        <x:v>REG_RODOTEC_0218</x:v>
      </x:c>
      <x:c r="B218" s="12" t="str">
        <x:v>W_S_TRANSPORTES</x:v>
      </x:c>
      <x:c r="C218" s="12" t="str">
        <x:v>RODOTEC RO INTERIOR</x:v>
      </x:c>
      <x:c r="D218" s="12" t="str">
        <x:v>Itapuã do Oeste</x:v>
      </x:c>
      <x:c r="E218" s="12" t="str">
        <x:v>RO</x:v>
      </x:c>
      <x:c r="F218" s="12" t="str">
        <x:v>30%</x:v>
      </x:c>
      <x:c r="G218" s="12" t="n">
        <x:v>100</x:v>
      </x:c>
      <x:c r="H218" s="12"/>
      <x:c r="I218" s="12" t="str">
        <x:v>rodotec.pdf</x:v>
      </x:c>
      <x:c r="J218" s="12" t="str">
        <x:v>1</x:v>
      </x:c>
      <x:c r="K218" s="12" t="str">
        <x:v>REVISAR_OK</x:v>
      </x:c>
      <x:c r="L218" t="n">
        <x:v>720</x:v>
      </x:c>
      <x:c r="M218" t="str">
        <x:v>ROTA RODOVIARIO</x:v>
      </x:c>
      <x:c r="N218" t="str">
        <x:v>27/02/2026</x:v>
      </x:c>
      <x:c r="O218"/>
      <x:c r="P218" t="str">
        <x:v>SEM_ICMS</x:v>
      </x:c>
      <x:c r="Q218" t="str">
        <x:v>SIM</x:v>
      </x:c>
      <x:c r="R218" t="str">
        <x:v>0,02%</x:v>
      </x:c>
      <x:c r="S218" t="str">
        <x:v>SIM</x:v>
      </x:c>
      <x:c r="T218" t="str">
        <x:v>3,50</x:v>
      </x:c>
      <x:c r="U218" t="str">
        <x:v>100</x:v>
      </x:c>
      <x:c r="V218" t="str">
        <x:v>SIM</x:v>
      </x:c>
      <x:c r="W218" t="str">
        <x:v>RODOTEC</x:v>
      </x:c>
      <x:c r="X218" s="12" t="str">
        <x:v>KG_TON</x:v>
      </x:c>
      <x:c r="Y218" s="12" t="str">
        <x:v>KG</x:v>
      </x:c>
      <x:c r="Z218" s="12" t="str">
        <x:v>2.6.43</x:v>
      </x:c>
      <x:c r="AA218" s="12" t="str">
        <x:v>Frete por kg/tonelada + GRIS/Pedágio opcionais conforme XML.</x:v>
      </x:c>
    </x:row>
    <x:row r="219">
      <x:c r="A219" s="12" t="str">
        <x:v>REG_RODOTEC_0219</x:v>
      </x:c>
      <x:c r="B219" s="12" t="str">
        <x:v>W_S_TRANSPORTES</x:v>
      </x:c>
      <x:c r="C219" s="12" t="str">
        <x:v>RODOTEC RO DISTRITO</x:v>
      </x:c>
      <x:c r="D219" s="12" t="str">
        <x:v>Jaci-Paraná</x:v>
      </x:c>
      <x:c r="E219" s="12" t="str">
        <x:v>RO</x:v>
      </x:c>
      <x:c r="F219" s="12" t="str">
        <x:v>30%</x:v>
      </x:c>
      <x:c r="G219" s="12" t="n">
        <x:v>100</x:v>
      </x:c>
      <x:c r="H219" s="12"/>
      <x:c r="I219" s="12" t="str">
        <x:v>rodotec.pdf</x:v>
      </x:c>
      <x:c r="J219" s="12" t="str">
        <x:v>1</x:v>
      </x:c>
      <x:c r="K219" s="12" t="str">
        <x:v>REVISAR_OK</x:v>
      </x:c>
      <x:c r="L219" t="n">
        <x:v>720</x:v>
      </x:c>
      <x:c r="M219" t="str">
        <x:v>ROTA RODOVIARIO</x:v>
      </x:c>
      <x:c r="N219" t="str">
        <x:v>27/02/2026</x:v>
      </x:c>
      <x:c r="O219"/>
      <x:c r="P219" t="str">
        <x:v>SEM_ICMS</x:v>
      </x:c>
      <x:c r="Q219" t="str">
        <x:v>SIM</x:v>
      </x:c>
      <x:c r="R219" t="str">
        <x:v>0,02%</x:v>
      </x:c>
      <x:c r="S219" t="str">
        <x:v>SIM</x:v>
      </x:c>
      <x:c r="T219" t="str">
        <x:v>3,50</x:v>
      </x:c>
      <x:c r="U219" t="str">
        <x:v>100</x:v>
      </x:c>
      <x:c r="V219" t="str">
        <x:v>SIM</x:v>
      </x:c>
      <x:c r="W219" t="str">
        <x:v>RODOTEC</x:v>
      </x:c>
      <x:c r="X219" s="12" t="str">
        <x:v>KG_TON</x:v>
      </x:c>
      <x:c r="Y219" s="12" t="str">
        <x:v>KG</x:v>
      </x:c>
      <x:c r="Z219" s="12" t="str">
        <x:v>2.6.43</x:v>
      </x:c>
      <x:c r="AA219" s="12" t="str">
        <x:v>Frete por kg/tonelada + GRIS/Pedágio opcionais conforme XML.</x:v>
      </x:c>
    </x:row>
    <x:row r="220">
      <x:c r="A220" s="12" t="str">
        <x:v>REG_RODOTEC_0220</x:v>
      </x:c>
      <x:c r="B220" s="12" t="str">
        <x:v>W_S_TRANSPORTES</x:v>
      </x:c>
      <x:c r="C220" s="12" t="str">
        <x:v>RODOTEC RO INTERIOR</x:v>
      </x:c>
      <x:c r="D220" s="12" t="str">
        <x:v>Machadinho d'Oeste</x:v>
      </x:c>
      <x:c r="E220" s="12" t="str">
        <x:v>RO</x:v>
      </x:c>
      <x:c r="F220" s="12" t="str">
        <x:v>30%</x:v>
      </x:c>
      <x:c r="G220" s="12" t="n">
        <x:v>100</x:v>
      </x:c>
      <x:c r="H220" s="12"/>
      <x:c r="I220" s="12" t="str">
        <x:v>rodotec.pdf</x:v>
      </x:c>
      <x:c r="J220" s="12" t="str">
        <x:v>1</x:v>
      </x:c>
      <x:c r="K220" s="12" t="str">
        <x:v>REVISAR_OK</x:v>
      </x:c>
      <x:c r="L220" t="n">
        <x:v>720</x:v>
      </x:c>
      <x:c r="M220" t="str">
        <x:v>ROTA RODOVIARIO</x:v>
      </x:c>
      <x:c r="N220" t="str">
        <x:v>27/02/2026</x:v>
      </x:c>
      <x:c r="O220"/>
      <x:c r="P220" t="str">
        <x:v>SEM_ICMS</x:v>
      </x:c>
      <x:c r="Q220" t="str">
        <x:v>SIM</x:v>
      </x:c>
      <x:c r="R220" t="str">
        <x:v>0,02%</x:v>
      </x:c>
      <x:c r="S220" t="str">
        <x:v>SIM</x:v>
      </x:c>
      <x:c r="T220" t="str">
        <x:v>3,50</x:v>
      </x:c>
      <x:c r="U220" t="str">
        <x:v>100</x:v>
      </x:c>
      <x:c r="V220" t="str">
        <x:v>SIM</x:v>
      </x:c>
      <x:c r="W220" t="str">
        <x:v>RODOTEC</x:v>
      </x:c>
      <x:c r="X220" s="12" t="str">
        <x:v>KG_TON</x:v>
      </x:c>
      <x:c r="Y220" s="12" t="str">
        <x:v>KG</x:v>
      </x:c>
      <x:c r="Z220" s="12" t="str">
        <x:v>2.6.43</x:v>
      </x:c>
      <x:c r="AA220" s="12" t="str">
        <x:v>Frete por kg/tonelada + GRIS/Pedágio opcionais conforme XML.</x:v>
      </x:c>
    </x:row>
    <x:row r="221">
      <x:c r="A221" s="12" t="str">
        <x:v>REG_RODOTEC_0221</x:v>
      </x:c>
      <x:c r="B221" s="12" t="str">
        <x:v>W_S_TRANSPORTES</x:v>
      </x:c>
      <x:c r="C221" s="12" t="str">
        <x:v>RODOTEC RO INTERIOR</x:v>
      </x:c>
      <x:c r="D221" s="12" t="str">
        <x:v>Ministro Andreazza</x:v>
      </x:c>
      <x:c r="E221" s="12" t="str">
        <x:v>RO</x:v>
      </x:c>
      <x:c r="F221" s="12" t="str">
        <x:v>30%</x:v>
      </x:c>
      <x:c r="G221" s="12" t="n">
        <x:v>100</x:v>
      </x:c>
      <x:c r="H221" s="12"/>
      <x:c r="I221" s="12" t="str">
        <x:v>rodotec.pdf</x:v>
      </x:c>
      <x:c r="J221" s="12" t="str">
        <x:v>1</x:v>
      </x:c>
      <x:c r="K221" s="12" t="str">
        <x:v>REVISAR_OK</x:v>
      </x:c>
      <x:c r="L221" t="n">
        <x:v>720</x:v>
      </x:c>
      <x:c r="M221" t="str">
        <x:v>ROTA RODOVIARIO</x:v>
      </x:c>
      <x:c r="N221" t="str">
        <x:v>27/02/2026</x:v>
      </x:c>
      <x:c r="O221"/>
      <x:c r="P221" t="str">
        <x:v>SEM_ICMS</x:v>
      </x:c>
      <x:c r="Q221" t="str">
        <x:v>SIM</x:v>
      </x:c>
      <x:c r="R221" t="str">
        <x:v>0,02%</x:v>
      </x:c>
      <x:c r="S221" t="str">
        <x:v>SIM</x:v>
      </x:c>
      <x:c r="T221" t="str">
        <x:v>3,50</x:v>
      </x:c>
      <x:c r="U221" t="str">
        <x:v>100</x:v>
      </x:c>
      <x:c r="V221" t="str">
        <x:v>SIM</x:v>
      </x:c>
      <x:c r="W221" t="str">
        <x:v>RODOTEC</x:v>
      </x:c>
      <x:c r="X221" s="12" t="str">
        <x:v>KG_TON</x:v>
      </x:c>
      <x:c r="Y221" s="12" t="str">
        <x:v>KG</x:v>
      </x:c>
      <x:c r="Z221" s="12" t="str">
        <x:v>2.6.43</x:v>
      </x:c>
      <x:c r="AA221" s="12" t="str">
        <x:v>Frete por kg/tonelada + GRIS/Pedágio opcionais conforme XML.</x:v>
      </x:c>
    </x:row>
    <x:row r="222">
      <x:c r="A222" s="12" t="str">
        <x:v>REG_RODOTEC_0222</x:v>
      </x:c>
      <x:c r="B222" s="12" t="str">
        <x:v>W_S_TRANSPORTES</x:v>
      </x:c>
      <x:c r="C222" s="12" t="str">
        <x:v>RODOTEC RO INTERIOR</x:v>
      </x:c>
      <x:c r="D222" s="12" t="str">
        <x:v>Mirante da Serra</x:v>
      </x:c>
      <x:c r="E222" s="12" t="str">
        <x:v>RO</x:v>
      </x:c>
      <x:c r="F222" s="12" t="str">
        <x:v>30%</x:v>
      </x:c>
      <x:c r="G222" s="12" t="n">
        <x:v>100</x:v>
      </x:c>
      <x:c r="H222" s="12"/>
      <x:c r="I222" s="12" t="str">
        <x:v>rodotec.pdf</x:v>
      </x:c>
      <x:c r="J222" s="12" t="str">
        <x:v>1</x:v>
      </x:c>
      <x:c r="K222" s="12" t="str">
        <x:v>REVISAR_OK</x:v>
      </x:c>
      <x:c r="L222" t="n">
        <x:v>720</x:v>
      </x:c>
      <x:c r="M222" t="str">
        <x:v>ROTA RODOVIARIO</x:v>
      </x:c>
      <x:c r="N222" t="str">
        <x:v>27/02/2026</x:v>
      </x:c>
      <x:c r="O222"/>
      <x:c r="P222" t="str">
        <x:v>SEM_ICMS</x:v>
      </x:c>
      <x:c r="Q222" t="str">
        <x:v>SIM</x:v>
      </x:c>
      <x:c r="R222" t="str">
        <x:v>0,02%</x:v>
      </x:c>
      <x:c r="S222" t="str">
        <x:v>SIM</x:v>
      </x:c>
      <x:c r="T222" t="str">
        <x:v>3,50</x:v>
      </x:c>
      <x:c r="U222" t="str">
        <x:v>100</x:v>
      </x:c>
      <x:c r="V222" t="str">
        <x:v>SIM</x:v>
      </x:c>
      <x:c r="W222" t="str">
        <x:v>RODOTEC</x:v>
      </x:c>
      <x:c r="X222" s="12" t="str">
        <x:v>KG_TON</x:v>
      </x:c>
      <x:c r="Y222" s="12" t="str">
        <x:v>KG</x:v>
      </x:c>
      <x:c r="Z222" s="12" t="str">
        <x:v>2.6.43</x:v>
      </x:c>
      <x:c r="AA222" s="12" t="str">
        <x:v>Frete por kg/tonelada + GRIS/Pedágio opcionais conforme XML.</x:v>
      </x:c>
    </x:row>
    <x:row r="223">
      <x:c r="A223" s="12" t="str">
        <x:v>REG_RODOTEC_0223</x:v>
      </x:c>
      <x:c r="B223" s="12" t="str">
        <x:v>W_S_TRANSPORTES</x:v>
      </x:c>
      <x:c r="C223" s="12" t="str">
        <x:v>RODOTEC RO INTERIOR</x:v>
      </x:c>
      <x:c r="D223" s="12" t="str">
        <x:v>Monte Negro</x:v>
      </x:c>
      <x:c r="E223" s="12" t="str">
        <x:v>RO</x:v>
      </x:c>
      <x:c r="F223" s="12" t="str">
        <x:v>30%</x:v>
      </x:c>
      <x:c r="G223" s="12" t="n">
        <x:v>100</x:v>
      </x:c>
      <x:c r="H223" s="12"/>
      <x:c r="I223" s="12" t="str">
        <x:v>rodotec.pdf</x:v>
      </x:c>
      <x:c r="J223" s="12" t="str">
        <x:v>1</x:v>
      </x:c>
      <x:c r="K223" s="12" t="str">
        <x:v>REVISAR_OK</x:v>
      </x:c>
      <x:c r="L223" t="n">
        <x:v>720</x:v>
      </x:c>
      <x:c r="M223" t="str">
        <x:v>ROTA RODOVIARIO</x:v>
      </x:c>
      <x:c r="N223" t="str">
        <x:v>27/02/2026</x:v>
      </x:c>
      <x:c r="O223"/>
      <x:c r="P223" t="str">
        <x:v>SEM_ICMS</x:v>
      </x:c>
      <x:c r="Q223" t="str">
        <x:v>SIM</x:v>
      </x:c>
      <x:c r="R223" t="str">
        <x:v>0,02%</x:v>
      </x:c>
      <x:c r="S223" t="str">
        <x:v>SIM</x:v>
      </x:c>
      <x:c r="T223" t="str">
        <x:v>3,50</x:v>
      </x:c>
      <x:c r="U223" t="str">
        <x:v>100</x:v>
      </x:c>
      <x:c r="V223" t="str">
        <x:v>SIM</x:v>
      </x:c>
      <x:c r="W223" t="str">
        <x:v>RODOTEC</x:v>
      </x:c>
      <x:c r="X223" s="12" t="str">
        <x:v>KG_TON</x:v>
      </x:c>
      <x:c r="Y223" s="12" t="str">
        <x:v>KG</x:v>
      </x:c>
      <x:c r="Z223" s="12" t="str">
        <x:v>2.6.43</x:v>
      </x:c>
      <x:c r="AA223" s="12" t="str">
        <x:v>Frete por kg/tonelada + GRIS/Pedágio opcionais conforme XML.</x:v>
      </x:c>
    </x:row>
    <x:row r="224">
      <x:c r="A224" s="12" t="str">
        <x:v>REG_RODOTEC_0224</x:v>
      </x:c>
      <x:c r="B224" s="12" t="str">
        <x:v>W_S_TRANSPORTES</x:v>
      </x:c>
      <x:c r="C224" s="12" t="str">
        <x:v>RODOTEC RO INTERIOR</x:v>
      </x:c>
      <x:c r="D224" s="12" t="str">
        <x:v>Nova Brasilândia d'Oeste</x:v>
      </x:c>
      <x:c r="E224" s="12" t="str">
        <x:v>RO</x:v>
      </x:c>
      <x:c r="F224" s="12" t="str">
        <x:v>30%</x:v>
      </x:c>
      <x:c r="G224" s="12" t="n">
        <x:v>100</x:v>
      </x:c>
      <x:c r="H224" s="12"/>
      <x:c r="I224" s="12" t="str">
        <x:v>rodotec.pdf</x:v>
      </x:c>
      <x:c r="J224" s="12" t="str">
        <x:v>1</x:v>
      </x:c>
      <x:c r="K224" s="12" t="str">
        <x:v>REVISAR_OK</x:v>
      </x:c>
      <x:c r="L224" t="n">
        <x:v>720</x:v>
      </x:c>
      <x:c r="M224" t="str">
        <x:v>ROTA RODOVIARIO</x:v>
      </x:c>
      <x:c r="N224" t="str">
        <x:v>27/02/2026</x:v>
      </x:c>
      <x:c r="O224"/>
      <x:c r="P224" t="str">
        <x:v>SEM_ICMS</x:v>
      </x:c>
      <x:c r="Q224" t="str">
        <x:v>SIM</x:v>
      </x:c>
      <x:c r="R224" t="str">
        <x:v>0,02%</x:v>
      </x:c>
      <x:c r="S224" t="str">
        <x:v>SIM</x:v>
      </x:c>
      <x:c r="T224" t="str">
        <x:v>3,50</x:v>
      </x:c>
      <x:c r="U224" t="str">
        <x:v>100</x:v>
      </x:c>
      <x:c r="V224" t="str">
        <x:v>SIM</x:v>
      </x:c>
      <x:c r="W224" t="str">
        <x:v>RODOTEC</x:v>
      </x:c>
      <x:c r="X224" s="12" t="str">
        <x:v>KG_TON</x:v>
      </x:c>
      <x:c r="Y224" s="12" t="str">
        <x:v>KG</x:v>
      </x:c>
      <x:c r="Z224" s="12" t="str">
        <x:v>2.6.43</x:v>
      </x:c>
      <x:c r="AA224" s="12" t="str">
        <x:v>Frete por kg/tonelada + GRIS/Pedágio opcionais conforme XML.</x:v>
      </x:c>
    </x:row>
    <x:row r="225">
      <x:c r="A225" s="12" t="str">
        <x:v>REG_RODOTEC_0225</x:v>
      </x:c>
      <x:c r="B225" s="12" t="str">
        <x:v>W_S_TRANSPORTES</x:v>
      </x:c>
      <x:c r="C225" s="12" t="str">
        <x:v>RODOTEC RO INTERIOR</x:v>
      </x:c>
      <x:c r="D225" s="12" t="str">
        <x:v>Nova Califórnia</x:v>
      </x:c>
      <x:c r="E225" s="12" t="str">
        <x:v>RO</x:v>
      </x:c>
      <x:c r="F225" s="12" t="str">
        <x:v>30%</x:v>
      </x:c>
      <x:c r="G225" s="12" t="n">
        <x:v>100</x:v>
      </x:c>
      <x:c r="H225" s="12"/>
      <x:c r="I225" s="12" t="str">
        <x:v>rodotec.pdf</x:v>
      </x:c>
      <x:c r="J225" s="12" t="str">
        <x:v>1</x:v>
      </x:c>
      <x:c r="K225" s="12" t="str">
        <x:v>REVISAR_OK</x:v>
      </x:c>
      <x:c r="L225" t="n">
        <x:v>720</x:v>
      </x:c>
      <x:c r="M225" t="str">
        <x:v>ROTA RODOVIARIO</x:v>
      </x:c>
      <x:c r="N225" t="str">
        <x:v>27/02/2026</x:v>
      </x:c>
      <x:c r="O225"/>
      <x:c r="P225" t="str">
        <x:v>SEM_ICMS</x:v>
      </x:c>
      <x:c r="Q225" t="str">
        <x:v>SIM</x:v>
      </x:c>
      <x:c r="R225" t="str">
        <x:v>0,02%</x:v>
      </x:c>
      <x:c r="S225" t="str">
        <x:v>SIM</x:v>
      </x:c>
      <x:c r="T225" t="str">
        <x:v>3,50</x:v>
      </x:c>
      <x:c r="U225" t="str">
        <x:v>100</x:v>
      </x:c>
      <x:c r="V225" t="str">
        <x:v>SIM</x:v>
      </x:c>
      <x:c r="W225" t="str">
        <x:v>RODOTEC</x:v>
      </x:c>
      <x:c r="X225" s="12" t="str">
        <x:v>KG_TON</x:v>
      </x:c>
      <x:c r="Y225" s="12" t="str">
        <x:v>KG</x:v>
      </x:c>
      <x:c r="Z225" s="12" t="str">
        <x:v>2.6.43</x:v>
      </x:c>
      <x:c r="AA225" s="12" t="str">
        <x:v>Frete por kg/tonelada + GRIS/Pedágio opcionais conforme XML.</x:v>
      </x:c>
    </x:row>
    <x:row r="226">
      <x:c r="A226" s="12" t="str">
        <x:v>REG_RODOTEC_0226</x:v>
      </x:c>
      <x:c r="B226" s="12" t="str">
        <x:v>W_S_TRANSPORTES</x:v>
      </x:c>
      <x:c r="C226" s="12" t="str">
        <x:v>RODOTEC RO INTERIOR</x:v>
      </x:c>
      <x:c r="D226" s="12" t="str">
        <x:v>Nova Mamoré</x:v>
      </x:c>
      <x:c r="E226" s="12" t="str">
        <x:v>RO</x:v>
      </x:c>
      <x:c r="F226" s="12" t="str">
        <x:v>30%</x:v>
      </x:c>
      <x:c r="G226" s="12" t="n">
        <x:v>100</x:v>
      </x:c>
      <x:c r="H226" s="12"/>
      <x:c r="I226" s="12" t="str">
        <x:v>rodotec.pdf</x:v>
      </x:c>
      <x:c r="J226" s="12" t="str">
        <x:v>1</x:v>
      </x:c>
      <x:c r="K226" s="12" t="str">
        <x:v>REVISAR_OK</x:v>
      </x:c>
      <x:c r="L226" t="n">
        <x:v>720</x:v>
      </x:c>
      <x:c r="M226" t="str">
        <x:v>ROTA RODOVIARIO</x:v>
      </x:c>
      <x:c r="N226" t="str">
        <x:v>27/02/2026</x:v>
      </x:c>
      <x:c r="O226"/>
      <x:c r="P226" t="str">
        <x:v>SEM_ICMS</x:v>
      </x:c>
      <x:c r="Q226" t="str">
        <x:v>SIM</x:v>
      </x:c>
      <x:c r="R226" t="str">
        <x:v>0,02%</x:v>
      </x:c>
      <x:c r="S226" t="str">
        <x:v>SIM</x:v>
      </x:c>
      <x:c r="T226" t="str">
        <x:v>3,50</x:v>
      </x:c>
      <x:c r="U226" t="str">
        <x:v>100</x:v>
      </x:c>
      <x:c r="V226" t="str">
        <x:v>SIM</x:v>
      </x:c>
      <x:c r="W226" t="str">
        <x:v>RODOTEC</x:v>
      </x:c>
      <x:c r="X226" s="12" t="str">
        <x:v>KG_TON</x:v>
      </x:c>
      <x:c r="Y226" s="12" t="str">
        <x:v>KG</x:v>
      </x:c>
      <x:c r="Z226" s="12" t="str">
        <x:v>2.6.43</x:v>
      </x:c>
      <x:c r="AA226" s="12" t="str">
        <x:v>Frete por kg/tonelada + GRIS/Pedágio opcionais conforme XML.</x:v>
      </x:c>
    </x:row>
    <x:row r="227">
      <x:c r="A227" s="12" t="str">
        <x:v>REG_RODOTEC_0227</x:v>
      </x:c>
      <x:c r="B227" s="12" t="str">
        <x:v>W_S_TRANSPORTES</x:v>
      </x:c>
      <x:c r="C227" s="12" t="str">
        <x:v>RODOTEC RO INTERIOR</x:v>
      </x:c>
      <x:c r="D227" s="12" t="str">
        <x:v>Nova Mutum</x:v>
      </x:c>
      <x:c r="E227" s="12" t="str">
        <x:v>RO</x:v>
      </x:c>
      <x:c r="F227" s="12" t="str">
        <x:v>30%</x:v>
      </x:c>
      <x:c r="G227" s="12" t="n">
        <x:v>100</x:v>
      </x:c>
      <x:c r="H227" s="12"/>
      <x:c r="I227" s="12" t="str">
        <x:v>rodotec.pdf</x:v>
      </x:c>
      <x:c r="J227" s="12" t="str">
        <x:v>1</x:v>
      </x:c>
      <x:c r="K227" s="12" t="str">
        <x:v>REVISAR_OK</x:v>
      </x:c>
      <x:c r="L227" t="n">
        <x:v>720</x:v>
      </x:c>
      <x:c r="M227" t="str">
        <x:v>ROTA RODOVIARIO</x:v>
      </x:c>
      <x:c r="N227" t="str">
        <x:v>27/02/2026</x:v>
      </x:c>
      <x:c r="O227"/>
      <x:c r="P227" t="str">
        <x:v>SEM_ICMS</x:v>
      </x:c>
      <x:c r="Q227" t="str">
        <x:v>SIM</x:v>
      </x:c>
      <x:c r="R227" t="str">
        <x:v>0,02%</x:v>
      </x:c>
      <x:c r="S227" t="str">
        <x:v>SIM</x:v>
      </x:c>
      <x:c r="T227" t="str">
        <x:v>3,50</x:v>
      </x:c>
      <x:c r="U227" t="str">
        <x:v>100</x:v>
      </x:c>
      <x:c r="V227" t="str">
        <x:v>SIM</x:v>
      </x:c>
      <x:c r="W227" t="str">
        <x:v>RODOTEC</x:v>
      </x:c>
      <x:c r="X227" s="12" t="str">
        <x:v>KG_TON</x:v>
      </x:c>
      <x:c r="Y227" s="12" t="str">
        <x:v>KG</x:v>
      </x:c>
      <x:c r="Z227" s="12" t="str">
        <x:v>2.6.43</x:v>
      </x:c>
      <x:c r="AA227" s="12" t="str">
        <x:v>Frete por kg/tonelada + GRIS/Pedágio opcionais conforme XML.</x:v>
      </x:c>
    </x:row>
    <x:row r="228">
      <x:c r="A228" s="12" t="str">
        <x:v>REG_RODOTEC_0228</x:v>
      </x:c>
      <x:c r="B228" s="12" t="str">
        <x:v>W_S_TRANSPORTES</x:v>
      </x:c>
      <x:c r="C228" s="12" t="str">
        <x:v>RODOTEC RO INTERIOR</x:v>
      </x:c>
      <x:c r="D228" s="12" t="str">
        <x:v>Nova União</x:v>
      </x:c>
      <x:c r="E228" s="12" t="str">
        <x:v>RO</x:v>
      </x:c>
      <x:c r="F228" s="12" t="str">
        <x:v>30%</x:v>
      </x:c>
      <x:c r="G228" s="12" t="n">
        <x:v>100</x:v>
      </x:c>
      <x:c r="H228" s="12"/>
      <x:c r="I228" s="12" t="str">
        <x:v>rodotec.pdf</x:v>
      </x:c>
      <x:c r="J228" s="12" t="str">
        <x:v>1</x:v>
      </x:c>
      <x:c r="K228" s="12" t="str">
        <x:v>REVISAR_OK</x:v>
      </x:c>
      <x:c r="L228" t="n">
        <x:v>720</x:v>
      </x:c>
      <x:c r="M228" t="str">
        <x:v>ROTA RODOVIARIO</x:v>
      </x:c>
      <x:c r="N228" t="str">
        <x:v>27/02/2026</x:v>
      </x:c>
      <x:c r="O228"/>
      <x:c r="P228" t="str">
        <x:v>SEM_ICMS</x:v>
      </x:c>
      <x:c r="Q228" t="str">
        <x:v>SIM</x:v>
      </x:c>
      <x:c r="R228" t="str">
        <x:v>0,02%</x:v>
      </x:c>
      <x:c r="S228" t="str">
        <x:v>SIM</x:v>
      </x:c>
      <x:c r="T228" t="str">
        <x:v>3,50</x:v>
      </x:c>
      <x:c r="U228" t="str">
        <x:v>100</x:v>
      </x:c>
      <x:c r="V228" t="str">
        <x:v>SIM</x:v>
      </x:c>
      <x:c r="W228" t="str">
        <x:v>RODOTEC</x:v>
      </x:c>
      <x:c r="X228" s="12" t="str">
        <x:v>KG_TON</x:v>
      </x:c>
      <x:c r="Y228" s="12" t="str">
        <x:v>KG</x:v>
      </x:c>
      <x:c r="Z228" s="12" t="str">
        <x:v>2.6.43</x:v>
      </x:c>
      <x:c r="AA228" s="12" t="str">
        <x:v>Frete por kg/tonelada + GRIS/Pedágio opcionais conforme XML.</x:v>
      </x:c>
    </x:row>
    <x:row r="229">
      <x:c r="A229" s="12" t="str">
        <x:v>REG_RODOTEC_0229</x:v>
      </x:c>
      <x:c r="B229" s="12" t="str">
        <x:v>W_S_TRANSPORTES</x:v>
      </x:c>
      <x:c r="C229" s="12" t="str">
        <x:v>RODOTEC RO INTERIOR</x:v>
      </x:c>
      <x:c r="D229" s="12" t="str">
        <x:v>Novo Horizonte do Oeste</x:v>
      </x:c>
      <x:c r="E229" s="12" t="str">
        <x:v>RO</x:v>
      </x:c>
      <x:c r="F229" s="12" t="str">
        <x:v>30%</x:v>
      </x:c>
      <x:c r="G229" s="12" t="n">
        <x:v>100</x:v>
      </x:c>
      <x:c r="H229" s="12"/>
      <x:c r="I229" s="12" t="str">
        <x:v>rodotec.pdf</x:v>
      </x:c>
      <x:c r="J229" s="12" t="str">
        <x:v>1</x:v>
      </x:c>
      <x:c r="K229" s="12" t="str">
        <x:v>REVISAR_OK</x:v>
      </x:c>
      <x:c r="L229" t="n">
        <x:v>720</x:v>
      </x:c>
      <x:c r="M229" t="str">
        <x:v>ROTA RODOVIARIO</x:v>
      </x:c>
      <x:c r="N229" t="str">
        <x:v>27/02/2026</x:v>
      </x:c>
      <x:c r="O229"/>
      <x:c r="P229" t="str">
        <x:v>SEM_ICMS</x:v>
      </x:c>
      <x:c r="Q229" t="str">
        <x:v>SIM</x:v>
      </x:c>
      <x:c r="R229" t="str">
        <x:v>0,02%</x:v>
      </x:c>
      <x:c r="S229" t="str">
        <x:v>SIM</x:v>
      </x:c>
      <x:c r="T229" t="str">
        <x:v>3,50</x:v>
      </x:c>
      <x:c r="U229" t="str">
        <x:v>100</x:v>
      </x:c>
      <x:c r="V229" t="str">
        <x:v>SIM</x:v>
      </x:c>
      <x:c r="W229" t="str">
        <x:v>RODOTEC</x:v>
      </x:c>
      <x:c r="X229" s="12" t="str">
        <x:v>KG_TON</x:v>
      </x:c>
      <x:c r="Y229" s="12" t="str">
        <x:v>KG</x:v>
      </x:c>
      <x:c r="Z229" s="12" t="str">
        <x:v>2.6.43</x:v>
      </x:c>
      <x:c r="AA229" s="12" t="str">
        <x:v>Frete por kg/tonelada + GRIS/Pedágio opcionais conforme XML.</x:v>
      </x:c>
    </x:row>
    <x:row r="230">
      <x:c r="A230" s="12" t="str">
        <x:v>REG_RODOTEC_0230</x:v>
      </x:c>
      <x:c r="B230" s="12" t="str">
        <x:v>W_S_TRANSPORTES</x:v>
      </x:c>
      <x:c r="C230" s="12" t="str">
        <x:v>RODOTEC RO INTERIOR</x:v>
      </x:c>
      <x:c r="D230" s="12" t="str">
        <x:v>Parecis</x:v>
      </x:c>
      <x:c r="E230" s="12" t="str">
        <x:v>RO</x:v>
      </x:c>
      <x:c r="F230" s="12" t="str">
        <x:v>30%</x:v>
      </x:c>
      <x:c r="G230" s="12" t="n">
        <x:v>100</x:v>
      </x:c>
      <x:c r="H230" s="12"/>
      <x:c r="I230" s="12" t="str">
        <x:v>rodotec.pdf</x:v>
      </x:c>
      <x:c r="J230" s="12" t="str">
        <x:v>1</x:v>
      </x:c>
      <x:c r="K230" s="12" t="str">
        <x:v>REVISAR_OK</x:v>
      </x:c>
      <x:c r="L230" t="n">
        <x:v>720</x:v>
      </x:c>
      <x:c r="M230" t="str">
        <x:v>ROTA RODOVIARIO</x:v>
      </x:c>
      <x:c r="N230" t="str">
        <x:v>27/02/2026</x:v>
      </x:c>
      <x:c r="O230"/>
      <x:c r="P230" t="str">
        <x:v>SEM_ICMS</x:v>
      </x:c>
      <x:c r="Q230" t="str">
        <x:v>SIM</x:v>
      </x:c>
      <x:c r="R230" t="str">
        <x:v>0,02%</x:v>
      </x:c>
      <x:c r="S230" t="str">
        <x:v>SIM</x:v>
      </x:c>
      <x:c r="T230" t="str">
        <x:v>3,50</x:v>
      </x:c>
      <x:c r="U230" t="str">
        <x:v>100</x:v>
      </x:c>
      <x:c r="V230" t="str">
        <x:v>SIM</x:v>
      </x:c>
      <x:c r="W230" t="str">
        <x:v>RODOTEC</x:v>
      </x:c>
      <x:c r="X230" s="12" t="str">
        <x:v>KG_TON</x:v>
      </x:c>
      <x:c r="Y230" s="12" t="str">
        <x:v>KG</x:v>
      </x:c>
      <x:c r="Z230" s="12" t="str">
        <x:v>2.6.43</x:v>
      </x:c>
      <x:c r="AA230" s="12" t="str">
        <x:v>Frete por kg/tonelada + GRIS/Pedágio opcionais conforme XML.</x:v>
      </x:c>
    </x:row>
    <x:row r="231">
      <x:c r="A231" s="12" t="str">
        <x:v>REG_RODOTEC_0231</x:v>
      </x:c>
      <x:c r="B231" s="12" t="str">
        <x:v>W_S_TRANSPORTES</x:v>
      </x:c>
      <x:c r="C231" s="12" t="str">
        <x:v>RODOTEC RO INTERIOR</x:v>
      </x:c>
      <x:c r="D231" s="12" t="str">
        <x:v>Presidente Médici</x:v>
      </x:c>
      <x:c r="E231" s="12" t="str">
        <x:v>RO</x:v>
      </x:c>
      <x:c r="F231" s="12" t="str">
        <x:v>30%</x:v>
      </x:c>
      <x:c r="G231" s="12" t="n">
        <x:v>100</x:v>
      </x:c>
      <x:c r="H231" s="12"/>
      <x:c r="I231" s="12" t="str">
        <x:v>rodotec.pdf</x:v>
      </x:c>
      <x:c r="J231" s="12" t="str">
        <x:v>1</x:v>
      </x:c>
      <x:c r="K231" s="12" t="str">
        <x:v>REVISAR_OK</x:v>
      </x:c>
      <x:c r="L231" t="n">
        <x:v>720</x:v>
      </x:c>
      <x:c r="M231" t="str">
        <x:v>ROTA RODOVIARIO</x:v>
      </x:c>
      <x:c r="N231" t="str">
        <x:v>27/02/2026</x:v>
      </x:c>
      <x:c r="O231"/>
      <x:c r="P231" t="str">
        <x:v>SEM_ICMS</x:v>
      </x:c>
      <x:c r="Q231" t="str">
        <x:v>SIM</x:v>
      </x:c>
      <x:c r="R231" t="str">
        <x:v>0,02%</x:v>
      </x:c>
      <x:c r="S231" t="str">
        <x:v>SIM</x:v>
      </x:c>
      <x:c r="T231" t="str">
        <x:v>3,50</x:v>
      </x:c>
      <x:c r="U231" t="str">
        <x:v>100</x:v>
      </x:c>
      <x:c r="V231" t="str">
        <x:v>SIM</x:v>
      </x:c>
      <x:c r="W231" t="str">
        <x:v>RODOTEC</x:v>
      </x:c>
      <x:c r="X231" s="12" t="str">
        <x:v>KG_TON</x:v>
      </x:c>
      <x:c r="Y231" s="12" t="str">
        <x:v>KG</x:v>
      </x:c>
      <x:c r="Z231" s="12" t="str">
        <x:v>2.6.43</x:v>
      </x:c>
      <x:c r="AA231" s="12" t="str">
        <x:v>Frete por kg/tonelada + GRIS/Pedágio opcionais conforme XML.</x:v>
      </x:c>
    </x:row>
    <x:row r="232">
      <x:c r="A232" s="12" t="str">
        <x:v>REG_RODOTEC_0232</x:v>
      </x:c>
      <x:c r="B232" s="12" t="str">
        <x:v>W_S_TRANSPORTES</x:v>
      </x:c>
      <x:c r="C232" s="12" t="str">
        <x:v>RODOTEC RO INTERIOR</x:v>
      </x:c>
      <x:c r="D232" s="12" t="str">
        <x:v>Pimenteiras do Oeste</x:v>
      </x:c>
      <x:c r="E232" s="12" t="str">
        <x:v>RO</x:v>
      </x:c>
      <x:c r="F232" s="12" t="str">
        <x:v>30%</x:v>
      </x:c>
      <x:c r="G232" s="12" t="n">
        <x:v>100</x:v>
      </x:c>
      <x:c r="H232" s="12"/>
      <x:c r="I232" s="12" t="str">
        <x:v>rodotec.pdf</x:v>
      </x:c>
      <x:c r="J232" s="12" t="str">
        <x:v>1</x:v>
      </x:c>
      <x:c r="K232" s="12" t="str">
        <x:v>REVISAR_OK</x:v>
      </x:c>
      <x:c r="L232" t="n">
        <x:v>720</x:v>
      </x:c>
      <x:c r="M232" t="str">
        <x:v>ROTA RODOVIARIO</x:v>
      </x:c>
      <x:c r="N232" t="str">
        <x:v>27/02/2026</x:v>
      </x:c>
      <x:c r="O232"/>
      <x:c r="P232" t="str">
        <x:v>SEM_ICMS</x:v>
      </x:c>
      <x:c r="Q232" t="str">
        <x:v>SIM</x:v>
      </x:c>
      <x:c r="R232" t="str">
        <x:v>0,02%</x:v>
      </x:c>
      <x:c r="S232" t="str">
        <x:v>SIM</x:v>
      </x:c>
      <x:c r="T232" t="str">
        <x:v>3,50</x:v>
      </x:c>
      <x:c r="U232" t="str">
        <x:v>100</x:v>
      </x:c>
      <x:c r="V232" t="str">
        <x:v>SIM</x:v>
      </x:c>
      <x:c r="W232" t="str">
        <x:v>RODOTEC</x:v>
      </x:c>
      <x:c r="X232" s="12" t="str">
        <x:v>KG_TON</x:v>
      </x:c>
      <x:c r="Y232" s="12" t="str">
        <x:v>KG</x:v>
      </x:c>
      <x:c r="Z232" s="12" t="str">
        <x:v>2.6.43</x:v>
      </x:c>
      <x:c r="AA232" s="12" t="str">
        <x:v>Frete por kg/tonelada + GRIS/Pedágio opcionais conforme XML.</x:v>
      </x:c>
    </x:row>
    <x:row r="233">
      <x:c r="A233" s="12" t="str">
        <x:v>REG_RODOTEC_0233</x:v>
      </x:c>
      <x:c r="B233" s="12" t="str">
        <x:v>W_S_TRANSPORTES</x:v>
      </x:c>
      <x:c r="C233" s="12" t="str">
        <x:v>RODOTEC RO INTERIOR</x:v>
      </x:c>
      <x:c r="D233" s="12" t="str">
        <x:v>Primavera de Rondônia</x:v>
      </x:c>
      <x:c r="E233" s="12" t="str">
        <x:v>RO</x:v>
      </x:c>
      <x:c r="F233" s="12" t="str">
        <x:v>30%</x:v>
      </x:c>
      <x:c r="G233" s="12" t="n">
        <x:v>100</x:v>
      </x:c>
      <x:c r="H233" s="12"/>
      <x:c r="I233" s="12" t="str">
        <x:v>rodotec.pdf</x:v>
      </x:c>
      <x:c r="J233" s="12" t="str">
        <x:v>1</x:v>
      </x:c>
      <x:c r="K233" s="12" t="str">
        <x:v>REVISAR_OK</x:v>
      </x:c>
      <x:c r="L233" t="n">
        <x:v>720</x:v>
      </x:c>
      <x:c r="M233" t="str">
        <x:v>ROTA RODOVIARIO</x:v>
      </x:c>
      <x:c r="N233" t="str">
        <x:v>27/02/2026</x:v>
      </x:c>
      <x:c r="O233"/>
      <x:c r="P233" t="str">
        <x:v>SEM_ICMS</x:v>
      </x:c>
      <x:c r="Q233" t="str">
        <x:v>SIM</x:v>
      </x:c>
      <x:c r="R233" t="str">
        <x:v>0,02%</x:v>
      </x:c>
      <x:c r="S233" t="str">
        <x:v>SIM</x:v>
      </x:c>
      <x:c r="T233" t="str">
        <x:v>3,50</x:v>
      </x:c>
      <x:c r="U233" t="str">
        <x:v>100</x:v>
      </x:c>
      <x:c r="V233" t="str">
        <x:v>SIM</x:v>
      </x:c>
      <x:c r="W233" t="str">
        <x:v>RODOTEC</x:v>
      </x:c>
      <x:c r="X233" s="12" t="str">
        <x:v>KG_TON</x:v>
      </x:c>
      <x:c r="Y233" s="12" t="str">
        <x:v>KG</x:v>
      </x:c>
      <x:c r="Z233" s="12" t="str">
        <x:v>2.6.43</x:v>
      </x:c>
      <x:c r="AA233" s="12" t="str">
        <x:v>Frete por kg/tonelada + GRIS/Pedágio opcionais conforme XML.</x:v>
      </x:c>
    </x:row>
    <x:row r="234">
      <x:c r="A234" s="12" t="str">
        <x:v>REG_RODOTEC_0234</x:v>
      </x:c>
      <x:c r="B234" s="12" t="str">
        <x:v>W_S_TRANSPORTES</x:v>
      </x:c>
      <x:c r="C234" s="12" t="str">
        <x:v>RODOTEC RO INTERIOR</x:v>
      </x:c>
      <x:c r="D234" s="12" t="str">
        <x:v>Rio Crespo</x:v>
      </x:c>
      <x:c r="E234" s="12" t="str">
        <x:v>RO</x:v>
      </x:c>
      <x:c r="F234" s="12" t="str">
        <x:v>30%</x:v>
      </x:c>
      <x:c r="G234" s="12" t="n">
        <x:v>100</x:v>
      </x:c>
      <x:c r="H234" s="12"/>
      <x:c r="I234" s="12" t="str">
        <x:v>rodotec.pdf</x:v>
      </x:c>
      <x:c r="J234" s="12" t="str">
        <x:v>1</x:v>
      </x:c>
      <x:c r="K234" s="12" t="str">
        <x:v>REVISAR_OK</x:v>
      </x:c>
      <x:c r="L234" t="n">
        <x:v>720</x:v>
      </x:c>
      <x:c r="M234" t="str">
        <x:v>ROTA RODOVIARIO</x:v>
      </x:c>
      <x:c r="N234" t="str">
        <x:v>27/02/2026</x:v>
      </x:c>
      <x:c r="O234"/>
      <x:c r="P234" t="str">
        <x:v>SEM_ICMS</x:v>
      </x:c>
      <x:c r="Q234" t="str">
        <x:v>SIM</x:v>
      </x:c>
      <x:c r="R234" t="str">
        <x:v>0,02%</x:v>
      </x:c>
      <x:c r="S234" t="str">
        <x:v>SIM</x:v>
      </x:c>
      <x:c r="T234" t="str">
        <x:v>3,50</x:v>
      </x:c>
      <x:c r="U234" t="str">
        <x:v>100</x:v>
      </x:c>
      <x:c r="V234" t="str">
        <x:v>SIM</x:v>
      </x:c>
      <x:c r="W234" t="str">
        <x:v>RODOTEC</x:v>
      </x:c>
      <x:c r="X234" s="12" t="str">
        <x:v>KG_TON</x:v>
      </x:c>
      <x:c r="Y234" s="12" t="str">
        <x:v>KG</x:v>
      </x:c>
      <x:c r="Z234" s="12" t="str">
        <x:v>2.6.43</x:v>
      </x:c>
      <x:c r="AA234" s="12" t="str">
        <x:v>Frete por kg/tonelada + GRIS/Pedágio opcionais conforme XML.</x:v>
      </x:c>
    </x:row>
    <x:row r="235">
      <x:c r="A235" s="12" t="str">
        <x:v>REG_RODOTEC_0235</x:v>
      </x:c>
      <x:c r="B235" s="12" t="str">
        <x:v>W_S_TRANSPORTES</x:v>
      </x:c>
      <x:c r="C235" s="12" t="str">
        <x:v>RODOTEC RO INTERIOR</x:v>
      </x:c>
      <x:c r="D235" s="12" t="str">
        <x:v>Rolim de Moura</x:v>
      </x:c>
      <x:c r="E235" s="12" t="str">
        <x:v>RO</x:v>
      </x:c>
      <x:c r="F235" s="12" t="str">
        <x:v>30%</x:v>
      </x:c>
      <x:c r="G235" s="12" t="n">
        <x:v>100</x:v>
      </x:c>
      <x:c r="H235" s="12"/>
      <x:c r="I235" s="12" t="str">
        <x:v>rodotec.pdf</x:v>
      </x:c>
      <x:c r="J235" s="12" t="str">
        <x:v>1</x:v>
      </x:c>
      <x:c r="K235" s="12" t="str">
        <x:v>REVISAR_OK</x:v>
      </x:c>
      <x:c r="L235" t="n">
        <x:v>720</x:v>
      </x:c>
      <x:c r="M235" t="str">
        <x:v>ROTA RODOVIARIO</x:v>
      </x:c>
      <x:c r="N235" t="str">
        <x:v>27/02/2026</x:v>
      </x:c>
      <x:c r="O235"/>
      <x:c r="P235" t="str">
        <x:v>SEM_ICMS</x:v>
      </x:c>
      <x:c r="Q235" t="str">
        <x:v>SIM</x:v>
      </x:c>
      <x:c r="R235" t="str">
        <x:v>0,02%</x:v>
      </x:c>
      <x:c r="S235" t="str">
        <x:v>SIM</x:v>
      </x:c>
      <x:c r="T235" t="str">
        <x:v>3,50</x:v>
      </x:c>
      <x:c r="U235" t="str">
        <x:v>100</x:v>
      </x:c>
      <x:c r="V235" t="str">
        <x:v>SIM</x:v>
      </x:c>
      <x:c r="W235" t="str">
        <x:v>RODOTEC</x:v>
      </x:c>
      <x:c r="X235" s="12" t="str">
        <x:v>KG_TON</x:v>
      </x:c>
      <x:c r="Y235" s="12" t="str">
        <x:v>KG</x:v>
      </x:c>
      <x:c r="Z235" s="12" t="str">
        <x:v>2.6.43</x:v>
      </x:c>
      <x:c r="AA235" s="12" t="str">
        <x:v>Frete por kg/tonelada + GRIS/Pedágio opcionais conforme XML.</x:v>
      </x:c>
    </x:row>
    <x:row r="236">
      <x:c r="A236" s="12" t="str">
        <x:v>REG_RODOTEC_0236</x:v>
      </x:c>
      <x:c r="B236" s="12" t="str">
        <x:v>W_S_TRANSPORTES</x:v>
      </x:c>
      <x:c r="C236" s="12" t="str">
        <x:v>RODOTEC RO INTERIOR</x:v>
      </x:c>
      <x:c r="D236" s="12" t="str">
        <x:v>Santa Luzia d'Oeste</x:v>
      </x:c>
      <x:c r="E236" s="12" t="str">
        <x:v>RO</x:v>
      </x:c>
      <x:c r="F236" s="12" t="str">
        <x:v>30%</x:v>
      </x:c>
      <x:c r="G236" s="12" t="n">
        <x:v>100</x:v>
      </x:c>
      <x:c r="H236" s="12"/>
      <x:c r="I236" s="12" t="str">
        <x:v>rodotec.pdf</x:v>
      </x:c>
      <x:c r="J236" s="12" t="str">
        <x:v>1</x:v>
      </x:c>
      <x:c r="K236" s="12" t="str">
        <x:v>REVISAR_OK</x:v>
      </x:c>
      <x:c r="L236" t="n">
        <x:v>720</x:v>
      </x:c>
      <x:c r="M236" t="str">
        <x:v>ROTA RODOVIARIO</x:v>
      </x:c>
      <x:c r="N236" t="str">
        <x:v>27/02/2026</x:v>
      </x:c>
      <x:c r="O236"/>
      <x:c r="P236" t="str">
        <x:v>SEM_ICMS</x:v>
      </x:c>
      <x:c r="Q236" t="str">
        <x:v>SIM</x:v>
      </x:c>
      <x:c r="R236" t="str">
        <x:v>0,02%</x:v>
      </x:c>
      <x:c r="S236" t="str">
        <x:v>SIM</x:v>
      </x:c>
      <x:c r="T236" t="str">
        <x:v>3,50</x:v>
      </x:c>
      <x:c r="U236" t="str">
        <x:v>100</x:v>
      </x:c>
      <x:c r="V236" t="str">
        <x:v>SIM</x:v>
      </x:c>
      <x:c r="W236" t="str">
        <x:v>RODOTEC</x:v>
      </x:c>
      <x:c r="X236" s="12" t="str">
        <x:v>KG_TON</x:v>
      </x:c>
      <x:c r="Y236" s="12" t="str">
        <x:v>KG</x:v>
      </x:c>
      <x:c r="Z236" s="12" t="str">
        <x:v>2.6.43</x:v>
      </x:c>
      <x:c r="AA236" s="12" t="str">
        <x:v>Frete por kg/tonelada + GRIS/Pedágio opcionais conforme XML.</x:v>
      </x:c>
    </x:row>
    <x:row r="237">
      <x:c r="A237" s="12" t="str">
        <x:v>REG_RODOTEC_0237</x:v>
      </x:c>
      <x:c r="B237" s="12" t="str">
        <x:v>W_S_TRANSPORTES</x:v>
      </x:c>
      <x:c r="C237" s="12" t="str">
        <x:v>RODOTEC RO INTERIOR</x:v>
      </x:c>
      <x:c r="D237" s="12" t="str">
        <x:v>São Felipe d'Oeste</x:v>
      </x:c>
      <x:c r="E237" s="12" t="str">
        <x:v>RO</x:v>
      </x:c>
      <x:c r="F237" s="12" t="str">
        <x:v>30%</x:v>
      </x:c>
      <x:c r="G237" s="12" t="n">
        <x:v>100</x:v>
      </x:c>
      <x:c r="H237" s="12"/>
      <x:c r="I237" s="12" t="str">
        <x:v>rodotec.pdf</x:v>
      </x:c>
      <x:c r="J237" s="12" t="str">
        <x:v>1</x:v>
      </x:c>
      <x:c r="K237" s="12" t="str">
        <x:v>REVISAR_OK</x:v>
      </x:c>
      <x:c r="L237" t="n">
        <x:v>720</x:v>
      </x:c>
      <x:c r="M237" t="str">
        <x:v>ROTA RODOVIARIO</x:v>
      </x:c>
      <x:c r="N237" t="str">
        <x:v>27/02/2026</x:v>
      </x:c>
      <x:c r="O237"/>
      <x:c r="P237" t="str">
        <x:v>SEM_ICMS</x:v>
      </x:c>
      <x:c r="Q237" t="str">
        <x:v>SIM</x:v>
      </x:c>
      <x:c r="R237" t="str">
        <x:v>0,02%</x:v>
      </x:c>
      <x:c r="S237" t="str">
        <x:v>SIM</x:v>
      </x:c>
      <x:c r="T237" t="str">
        <x:v>3,50</x:v>
      </x:c>
      <x:c r="U237" t="str">
        <x:v>100</x:v>
      </x:c>
      <x:c r="V237" t="str">
        <x:v>SIM</x:v>
      </x:c>
      <x:c r="W237" t="str">
        <x:v>RODOTEC</x:v>
      </x:c>
      <x:c r="X237" s="12" t="str">
        <x:v>KG_TON</x:v>
      </x:c>
      <x:c r="Y237" s="12" t="str">
        <x:v>KG</x:v>
      </x:c>
      <x:c r="Z237" s="12" t="str">
        <x:v>2.6.43</x:v>
      </x:c>
      <x:c r="AA237" s="12" t="str">
        <x:v>Frete por kg/tonelada + GRIS/Pedágio opcionais conforme XML.</x:v>
      </x:c>
    </x:row>
    <x:row r="238">
      <x:c r="A238" s="12" t="str">
        <x:v>REG_RODOTEC_0238</x:v>
      </x:c>
      <x:c r="B238" s="12" t="str">
        <x:v>W_S_TRANSPORTES</x:v>
      </x:c>
      <x:c r="C238" s="12" t="str">
        <x:v>RODOTEC RO INTERIOR</x:v>
      </x:c>
      <x:c r="D238" s="12" t="str">
        <x:v>São Francisco do Guaporé</x:v>
      </x:c>
      <x:c r="E238" s="12" t="str">
        <x:v>RO</x:v>
      </x:c>
      <x:c r="F238" s="12" t="str">
        <x:v>30%</x:v>
      </x:c>
      <x:c r="G238" s="12" t="n">
        <x:v>100</x:v>
      </x:c>
      <x:c r="H238" s="12"/>
      <x:c r="I238" s="12" t="str">
        <x:v>rodotec.pdf</x:v>
      </x:c>
      <x:c r="J238" s="12" t="str">
        <x:v>1</x:v>
      </x:c>
      <x:c r="K238" s="12" t="str">
        <x:v>REVISAR_OK</x:v>
      </x:c>
      <x:c r="L238" t="n">
        <x:v>720</x:v>
      </x:c>
      <x:c r="M238" t="str">
        <x:v>ROTA RODOVIARIO</x:v>
      </x:c>
      <x:c r="N238" t="str">
        <x:v>27/02/2026</x:v>
      </x:c>
      <x:c r="O238"/>
      <x:c r="P238" t="str">
        <x:v>SEM_ICMS</x:v>
      </x:c>
      <x:c r="Q238" t="str">
        <x:v>SIM</x:v>
      </x:c>
      <x:c r="R238" t="str">
        <x:v>0,02%</x:v>
      </x:c>
      <x:c r="S238" t="str">
        <x:v>SIM</x:v>
      </x:c>
      <x:c r="T238" t="str">
        <x:v>3,50</x:v>
      </x:c>
      <x:c r="U238" t="str">
        <x:v>100</x:v>
      </x:c>
      <x:c r="V238" t="str">
        <x:v>SIM</x:v>
      </x:c>
      <x:c r="W238" t="str">
        <x:v>RODOTEC</x:v>
      </x:c>
      <x:c r="X238" s="12" t="str">
        <x:v>KG_TON</x:v>
      </x:c>
      <x:c r="Y238" s="12" t="str">
        <x:v>KG</x:v>
      </x:c>
      <x:c r="Z238" s="12" t="str">
        <x:v>2.6.43</x:v>
      </x:c>
      <x:c r="AA238" s="12" t="str">
        <x:v>Frete por kg/tonelada + GRIS/Pedágio opcionais conforme XML.</x:v>
      </x:c>
    </x:row>
    <x:row r="239">
      <x:c r="A239" s="12" t="str">
        <x:v>REG_RODOTEC_0239</x:v>
      </x:c>
      <x:c r="B239" s="12" t="str">
        <x:v>W_S_TRANSPORTES</x:v>
      </x:c>
      <x:c r="C239" s="12" t="str">
        <x:v>RODOTEC RO INTERIOR</x:v>
      </x:c>
      <x:c r="D239" s="12" t="str">
        <x:v>São Miguel do Guaporé</x:v>
      </x:c>
      <x:c r="E239" s="12" t="str">
        <x:v>RO</x:v>
      </x:c>
      <x:c r="F239" s="12" t="str">
        <x:v>30%</x:v>
      </x:c>
      <x:c r="G239" s="12" t="n">
        <x:v>100</x:v>
      </x:c>
      <x:c r="H239" s="12"/>
      <x:c r="I239" s="12" t="str">
        <x:v>rodotec.pdf</x:v>
      </x:c>
      <x:c r="J239" s="12" t="str">
        <x:v>1</x:v>
      </x:c>
      <x:c r="K239" s="12" t="str">
        <x:v>REVISAR_OK</x:v>
      </x:c>
      <x:c r="L239" t="n">
        <x:v>720</x:v>
      </x:c>
      <x:c r="M239" t="str">
        <x:v>ROTA RODOVIARIO</x:v>
      </x:c>
      <x:c r="N239" t="str">
        <x:v>27/02/2026</x:v>
      </x:c>
      <x:c r="O239"/>
      <x:c r="P239" t="str">
        <x:v>SEM_ICMS</x:v>
      </x:c>
      <x:c r="Q239" t="str">
        <x:v>SIM</x:v>
      </x:c>
      <x:c r="R239" t="str">
        <x:v>0,02%</x:v>
      </x:c>
      <x:c r="S239" t="str">
        <x:v>SIM</x:v>
      </x:c>
      <x:c r="T239" t="str">
        <x:v>3,50</x:v>
      </x:c>
      <x:c r="U239" t="str">
        <x:v>100</x:v>
      </x:c>
      <x:c r="V239" t="str">
        <x:v>SIM</x:v>
      </x:c>
      <x:c r="W239" t="str">
        <x:v>RODOTEC</x:v>
      </x:c>
      <x:c r="X239" s="12" t="str">
        <x:v>KG_TON</x:v>
      </x:c>
      <x:c r="Y239" s="12" t="str">
        <x:v>KG</x:v>
      </x:c>
      <x:c r="Z239" s="12" t="str">
        <x:v>2.6.43</x:v>
      </x:c>
      <x:c r="AA239" s="12" t="str">
        <x:v>Frete por kg/tonelada + GRIS/Pedágio opcionais conforme XML.</x:v>
      </x:c>
    </x:row>
    <x:row r="240">
      <x:c r="A240" s="12" t="str">
        <x:v>REG_RODOTEC_0240</x:v>
      </x:c>
      <x:c r="B240" s="12" t="str">
        <x:v>W_S_TRANSPORTES</x:v>
      </x:c>
      <x:c r="C240" s="12" t="str">
        <x:v>RODOTEC RO INTERIOR</x:v>
      </x:c>
      <x:c r="D240" s="12" t="str">
        <x:v>Seringueiras</x:v>
      </x:c>
      <x:c r="E240" s="12" t="str">
        <x:v>RO</x:v>
      </x:c>
      <x:c r="F240" s="12" t="str">
        <x:v>30%</x:v>
      </x:c>
      <x:c r="G240" s="12" t="n">
        <x:v>100</x:v>
      </x:c>
      <x:c r="H240" s="12"/>
      <x:c r="I240" s="12" t="str">
        <x:v>rodotec.pdf</x:v>
      </x:c>
      <x:c r="J240" s="12" t="str">
        <x:v>1</x:v>
      </x:c>
      <x:c r="K240" s="12" t="str">
        <x:v>REVISAR_OK</x:v>
      </x:c>
      <x:c r="L240" t="n">
        <x:v>720</x:v>
      </x:c>
      <x:c r="M240" t="str">
        <x:v>ROTA RODOVIARIO</x:v>
      </x:c>
      <x:c r="N240" t="str">
        <x:v>27/02/2026</x:v>
      </x:c>
      <x:c r="O240"/>
      <x:c r="P240" t="str">
        <x:v>SEM_ICMS</x:v>
      </x:c>
      <x:c r="Q240" t="str">
        <x:v>SIM</x:v>
      </x:c>
      <x:c r="R240" t="str">
        <x:v>0,02%</x:v>
      </x:c>
      <x:c r="S240" t="str">
        <x:v>SIM</x:v>
      </x:c>
      <x:c r="T240" t="str">
        <x:v>3,50</x:v>
      </x:c>
      <x:c r="U240" t="str">
        <x:v>100</x:v>
      </x:c>
      <x:c r="V240" t="str">
        <x:v>SIM</x:v>
      </x:c>
      <x:c r="W240" t="str">
        <x:v>RODOTEC</x:v>
      </x:c>
      <x:c r="X240" s="12" t="str">
        <x:v>KG_TON</x:v>
      </x:c>
      <x:c r="Y240" s="12" t="str">
        <x:v>KG</x:v>
      </x:c>
      <x:c r="Z240" s="12" t="str">
        <x:v>2.6.43</x:v>
      </x:c>
      <x:c r="AA240" s="12" t="str">
        <x:v>Frete por kg/tonelada + GRIS/Pedágio opcionais conforme XML.</x:v>
      </x:c>
    </x:row>
    <x:row r="241">
      <x:c r="A241" s="12" t="str">
        <x:v>REG_RODOTEC_0241</x:v>
      </x:c>
      <x:c r="B241" s="12" t="str">
        <x:v>W_S_TRANSPORTES</x:v>
      </x:c>
      <x:c r="C241" s="12" t="str">
        <x:v>RODOTEC RO INTERIOR</x:v>
      </x:c>
      <x:c r="D241" s="12" t="str">
        <x:v>Tarilândia</x:v>
      </x:c>
      <x:c r="E241" s="12" t="str">
        <x:v>RO</x:v>
      </x:c>
      <x:c r="F241" s="12" t="str">
        <x:v>30%</x:v>
      </x:c>
      <x:c r="G241" s="12" t="n">
        <x:v>100</x:v>
      </x:c>
      <x:c r="H241" s="12"/>
      <x:c r="I241" s="12" t="str">
        <x:v>rodotec.pdf</x:v>
      </x:c>
      <x:c r="J241" s="12" t="str">
        <x:v>1</x:v>
      </x:c>
      <x:c r="K241" s="12" t="str">
        <x:v>REVISAR_OK</x:v>
      </x:c>
      <x:c r="L241" t="n">
        <x:v>720</x:v>
      </x:c>
      <x:c r="M241" t="str">
        <x:v>ROTA RODOVIARIO</x:v>
      </x:c>
      <x:c r="N241" t="str">
        <x:v>27/02/2026</x:v>
      </x:c>
      <x:c r="O241"/>
      <x:c r="P241" t="str">
        <x:v>SEM_ICMS</x:v>
      </x:c>
      <x:c r="Q241" t="str">
        <x:v>SIM</x:v>
      </x:c>
      <x:c r="R241" t="str">
        <x:v>0,02%</x:v>
      </x:c>
      <x:c r="S241" t="str">
        <x:v>SIM</x:v>
      </x:c>
      <x:c r="T241" t="str">
        <x:v>3,50</x:v>
      </x:c>
      <x:c r="U241" t="str">
        <x:v>100</x:v>
      </x:c>
      <x:c r="V241" t="str">
        <x:v>SIM</x:v>
      </x:c>
      <x:c r="W241" t="str">
        <x:v>RODOTEC</x:v>
      </x:c>
      <x:c r="X241" s="12" t="str">
        <x:v>KG_TON</x:v>
      </x:c>
      <x:c r="Y241" s="12" t="str">
        <x:v>KG</x:v>
      </x:c>
      <x:c r="Z241" s="12" t="str">
        <x:v>2.6.43</x:v>
      </x:c>
      <x:c r="AA241" s="12" t="str">
        <x:v>Frete por kg/tonelada + GRIS/Pedágio opcionais conforme XML.</x:v>
      </x:c>
    </x:row>
    <x:row r="242">
      <x:c r="A242" s="12" t="str">
        <x:v>REG_RODOTEC_0242</x:v>
      </x:c>
      <x:c r="B242" s="12" t="str">
        <x:v>W_S_TRANSPORTES</x:v>
      </x:c>
      <x:c r="C242" s="12" t="str">
        <x:v>RODOTEC RO INTERIOR</x:v>
      </x:c>
      <x:c r="D242" s="12" t="str">
        <x:v>Teixeirópolis</x:v>
      </x:c>
      <x:c r="E242" s="12" t="str">
        <x:v>RO</x:v>
      </x:c>
      <x:c r="F242" s="12" t="str">
        <x:v>30%</x:v>
      </x:c>
      <x:c r="G242" s="12" t="n">
        <x:v>100</x:v>
      </x:c>
      <x:c r="H242" s="12"/>
      <x:c r="I242" s="12" t="str">
        <x:v>rodotec.pdf</x:v>
      </x:c>
      <x:c r="J242" s="12" t="str">
        <x:v>1</x:v>
      </x:c>
      <x:c r="K242" s="12" t="str">
        <x:v>REVISAR_OK</x:v>
      </x:c>
      <x:c r="L242" t="n">
        <x:v>720</x:v>
      </x:c>
      <x:c r="M242" t="str">
        <x:v>ROTA RODOVIARIO</x:v>
      </x:c>
      <x:c r="N242" t="str">
        <x:v>27/02/2026</x:v>
      </x:c>
      <x:c r="O242"/>
      <x:c r="P242" t="str">
        <x:v>SEM_ICMS</x:v>
      </x:c>
      <x:c r="Q242" t="str">
        <x:v>SIM</x:v>
      </x:c>
      <x:c r="R242" t="str">
        <x:v>0,02%</x:v>
      </x:c>
      <x:c r="S242" t="str">
        <x:v>SIM</x:v>
      </x:c>
      <x:c r="T242" t="str">
        <x:v>3,50</x:v>
      </x:c>
      <x:c r="U242" t="str">
        <x:v>100</x:v>
      </x:c>
      <x:c r="V242" t="str">
        <x:v>SIM</x:v>
      </x:c>
      <x:c r="W242" t="str">
        <x:v>RODOTEC</x:v>
      </x:c>
      <x:c r="X242" s="12" t="str">
        <x:v>KG_TON</x:v>
      </x:c>
      <x:c r="Y242" s="12" t="str">
        <x:v>KG</x:v>
      </x:c>
      <x:c r="Z242" s="12" t="str">
        <x:v>2.6.43</x:v>
      </x:c>
      <x:c r="AA242" s="12" t="str">
        <x:v>Frete por kg/tonelada + GRIS/Pedágio opcionais conforme XML.</x:v>
      </x:c>
    </x:row>
    <x:row r="243">
      <x:c r="A243" s="12" t="str">
        <x:v>REG_RODOTEC_0243</x:v>
      </x:c>
      <x:c r="B243" s="12" t="str">
        <x:v>W_S_TRANSPORTES</x:v>
      </x:c>
      <x:c r="C243" s="12" t="str">
        <x:v>RODOTEC RO INTERIOR</x:v>
      </x:c>
      <x:c r="D243" s="12" t="str">
        <x:v>Theobroma</x:v>
      </x:c>
      <x:c r="E243" s="12" t="str">
        <x:v>RO</x:v>
      </x:c>
      <x:c r="F243" s="12" t="str">
        <x:v>30%</x:v>
      </x:c>
      <x:c r="G243" s="12" t="n">
        <x:v>100</x:v>
      </x:c>
      <x:c r="H243" s="12"/>
      <x:c r="I243" s="12" t="str">
        <x:v>rodotec.pdf</x:v>
      </x:c>
      <x:c r="J243" s="12" t="str">
        <x:v>1</x:v>
      </x:c>
      <x:c r="K243" s="12" t="str">
        <x:v>REVISAR_OK</x:v>
      </x:c>
      <x:c r="L243" t="n">
        <x:v>720</x:v>
      </x:c>
      <x:c r="M243" t="str">
        <x:v>ROTA RODOVIARIO</x:v>
      </x:c>
      <x:c r="N243" t="str">
        <x:v>27/02/2026</x:v>
      </x:c>
      <x:c r="O243"/>
      <x:c r="P243" t="str">
        <x:v>SEM_ICMS</x:v>
      </x:c>
      <x:c r="Q243" t="str">
        <x:v>SIM</x:v>
      </x:c>
      <x:c r="R243" t="str">
        <x:v>0,02%</x:v>
      </x:c>
      <x:c r="S243" t="str">
        <x:v>SIM</x:v>
      </x:c>
      <x:c r="T243" t="str">
        <x:v>3,50</x:v>
      </x:c>
      <x:c r="U243" t="str">
        <x:v>100</x:v>
      </x:c>
      <x:c r="V243" t="str">
        <x:v>SIM</x:v>
      </x:c>
      <x:c r="W243" t="str">
        <x:v>RODOTEC</x:v>
      </x:c>
      <x:c r="X243" s="12" t="str">
        <x:v>KG_TON</x:v>
      </x:c>
      <x:c r="Y243" s="12" t="str">
        <x:v>KG</x:v>
      </x:c>
      <x:c r="Z243" s="12" t="str">
        <x:v>2.6.43</x:v>
      </x:c>
      <x:c r="AA243" s="12" t="str">
        <x:v>Frete por kg/tonelada + GRIS/Pedágio opcionais conforme XML.</x:v>
      </x:c>
    </x:row>
    <x:row r="244">
      <x:c r="A244" s="12" t="str">
        <x:v>REG_RODOTEC_0244</x:v>
      </x:c>
      <x:c r="B244" s="12" t="str">
        <x:v>W_S_TRANSPORTES</x:v>
      </x:c>
      <x:c r="C244" s="12" t="str">
        <x:v>RODOTEC RO INTERIOR</x:v>
      </x:c>
      <x:c r="D244" s="12" t="str">
        <x:v>Triunfo</x:v>
      </x:c>
      <x:c r="E244" s="12" t="str">
        <x:v>RO</x:v>
      </x:c>
      <x:c r="F244" s="12" t="str">
        <x:v>30%</x:v>
      </x:c>
      <x:c r="G244" s="12" t="n">
        <x:v>100</x:v>
      </x:c>
      <x:c r="H244" s="12"/>
      <x:c r="I244" s="12" t="str">
        <x:v>rodotec.pdf</x:v>
      </x:c>
      <x:c r="J244" s="12" t="str">
        <x:v>1</x:v>
      </x:c>
      <x:c r="K244" s="12" t="str">
        <x:v>REVISAR_OK</x:v>
      </x:c>
      <x:c r="L244" t="n">
        <x:v>720</x:v>
      </x:c>
      <x:c r="M244" t="str">
        <x:v>ROTA RODOVIARIO</x:v>
      </x:c>
      <x:c r="N244" t="str">
        <x:v>27/02/2026</x:v>
      </x:c>
      <x:c r="O244"/>
      <x:c r="P244" t="str">
        <x:v>SEM_ICMS</x:v>
      </x:c>
      <x:c r="Q244" t="str">
        <x:v>SIM</x:v>
      </x:c>
      <x:c r="R244" t="str">
        <x:v>0,02%</x:v>
      </x:c>
      <x:c r="S244" t="str">
        <x:v>SIM</x:v>
      </x:c>
      <x:c r="T244" t="str">
        <x:v>3,50</x:v>
      </x:c>
      <x:c r="U244" t="str">
        <x:v>100</x:v>
      </x:c>
      <x:c r="V244" t="str">
        <x:v>SIM</x:v>
      </x:c>
      <x:c r="W244" t="str">
        <x:v>RODOTEC</x:v>
      </x:c>
      <x:c r="X244" s="12" t="str">
        <x:v>KG_TON</x:v>
      </x:c>
      <x:c r="Y244" s="12" t="str">
        <x:v>KG</x:v>
      </x:c>
      <x:c r="Z244" s="12" t="str">
        <x:v>2.6.43</x:v>
      </x:c>
      <x:c r="AA244" s="12" t="str">
        <x:v>Frete por kg/tonelada + GRIS/Pedágio opcionais conforme XML.</x:v>
      </x:c>
    </x:row>
    <x:row r="245">
      <x:c r="A245" s="12" t="str">
        <x:v>REG_RODOTEC_0245</x:v>
      </x:c>
      <x:c r="B245" s="12" t="str">
        <x:v>W_S_TRANSPORTES</x:v>
      </x:c>
      <x:c r="C245" s="12" t="str">
        <x:v>RODOTEC RO INTERIOR</x:v>
      </x:c>
      <x:c r="D245" s="12" t="str">
        <x:v>União Bandeirante</x:v>
      </x:c>
      <x:c r="E245" s="12" t="str">
        <x:v>RO</x:v>
      </x:c>
      <x:c r="F245" s="12" t="str">
        <x:v>30%</x:v>
      </x:c>
      <x:c r="G245" s="12" t="n">
        <x:v>100</x:v>
      </x:c>
      <x:c r="H245" s="12"/>
      <x:c r="I245" s="12" t="str">
        <x:v>rodotec.pdf</x:v>
      </x:c>
      <x:c r="J245" s="12" t="str">
        <x:v>1</x:v>
      </x:c>
      <x:c r="K245" s="12" t="str">
        <x:v>REVISAR_OK</x:v>
      </x:c>
      <x:c r="L245" t="n">
        <x:v>720</x:v>
      </x:c>
      <x:c r="M245" t="str">
        <x:v>ROTA RODOVIARIO</x:v>
      </x:c>
      <x:c r="N245" t="str">
        <x:v>27/02/2026</x:v>
      </x:c>
      <x:c r="O245"/>
      <x:c r="P245" t="str">
        <x:v>SEM_ICMS</x:v>
      </x:c>
      <x:c r="Q245" t="str">
        <x:v>SIM</x:v>
      </x:c>
      <x:c r="R245" t="str">
        <x:v>0,02%</x:v>
      </x:c>
      <x:c r="S245" t="str">
        <x:v>SIM</x:v>
      </x:c>
      <x:c r="T245" t="str">
        <x:v>3,50</x:v>
      </x:c>
      <x:c r="U245" t="str">
        <x:v>100</x:v>
      </x:c>
      <x:c r="V245" t="str">
        <x:v>SIM</x:v>
      </x:c>
      <x:c r="W245" t="str">
        <x:v>RODOTEC</x:v>
      </x:c>
      <x:c r="X245" s="12" t="str">
        <x:v>KG_TON</x:v>
      </x:c>
      <x:c r="Y245" s="12" t="str">
        <x:v>KG</x:v>
      </x:c>
      <x:c r="Z245" s="12" t="str">
        <x:v>2.6.43</x:v>
      </x:c>
      <x:c r="AA245" s="12" t="str">
        <x:v>Frete por kg/tonelada + GRIS/Pedágio opcionais conforme XML.</x:v>
      </x:c>
    </x:row>
    <x:row r="246">
      <x:c r="A246" s="12" t="str">
        <x:v>REG_RODOTEC_0246</x:v>
      </x:c>
      <x:c r="B246" s="12" t="str">
        <x:v>W_S_TRANSPORTES</x:v>
      </x:c>
      <x:c r="C246" s="12" t="str">
        <x:v>RODOTEC RO INTERIOR</x:v>
      </x:c>
      <x:c r="D246" s="12" t="str">
        <x:v>Urupá</x:v>
      </x:c>
      <x:c r="E246" s="12" t="str">
        <x:v>RO</x:v>
      </x:c>
      <x:c r="F246" s="12" t="str">
        <x:v>30%</x:v>
      </x:c>
      <x:c r="G246" s="12" t="n">
        <x:v>100</x:v>
      </x:c>
      <x:c r="H246" s="12"/>
      <x:c r="I246" s="12" t="str">
        <x:v>rodotec.pdf</x:v>
      </x:c>
      <x:c r="J246" s="12" t="str">
        <x:v>1</x:v>
      </x:c>
      <x:c r="K246" s="12" t="str">
        <x:v>REVISAR_OK</x:v>
      </x:c>
      <x:c r="L246" t="n">
        <x:v>720</x:v>
      </x:c>
      <x:c r="M246" t="str">
        <x:v>ROTA RODOVIARIO</x:v>
      </x:c>
      <x:c r="N246" t="str">
        <x:v>27/02/2026</x:v>
      </x:c>
      <x:c r="O246"/>
      <x:c r="P246" t="str">
        <x:v>SEM_ICMS</x:v>
      </x:c>
      <x:c r="Q246" t="str">
        <x:v>SIM</x:v>
      </x:c>
      <x:c r="R246" t="str">
        <x:v>0,02%</x:v>
      </x:c>
      <x:c r="S246" t="str">
        <x:v>SIM</x:v>
      </x:c>
      <x:c r="T246" t="str">
        <x:v>3,50</x:v>
      </x:c>
      <x:c r="U246" t="str">
        <x:v>100</x:v>
      </x:c>
      <x:c r="V246" t="str">
        <x:v>SIM</x:v>
      </x:c>
      <x:c r="W246" t="str">
        <x:v>RODOTEC</x:v>
      </x:c>
      <x:c r="X246" s="12" t="str">
        <x:v>KG_TON</x:v>
      </x:c>
      <x:c r="Y246" s="12" t="str">
        <x:v>KG</x:v>
      </x:c>
      <x:c r="Z246" s="12" t="str">
        <x:v>2.6.43</x:v>
      </x:c>
      <x:c r="AA246" s="12" t="str">
        <x:v>Frete por kg/tonelada + GRIS/Pedágio opcionais conforme XML.</x:v>
      </x:c>
    </x:row>
    <x:row r="247">
      <x:c r="A247" s="12" t="str">
        <x:v>REG_RODOTEC_0247</x:v>
      </x:c>
      <x:c r="B247" s="12" t="str">
        <x:v>W_S_TRANSPORTES</x:v>
      </x:c>
      <x:c r="C247" s="12" t="str">
        <x:v>RODOTEC RO INTERIOR</x:v>
      </x:c>
      <x:c r="D247" s="12" t="str">
        <x:v>Vale do Anari</x:v>
      </x:c>
      <x:c r="E247" s="12" t="str">
        <x:v>RO</x:v>
      </x:c>
      <x:c r="F247" s="12" t="str">
        <x:v>30%</x:v>
      </x:c>
      <x:c r="G247" s="12" t="n">
        <x:v>100</x:v>
      </x:c>
      <x:c r="H247" s="12"/>
      <x:c r="I247" s="12" t="str">
        <x:v>rodotec.pdf</x:v>
      </x:c>
      <x:c r="J247" s="12" t="str">
        <x:v>2</x:v>
      </x:c>
      <x:c r="K247" s="12" t="str">
        <x:v>REVISAR_OK</x:v>
      </x:c>
      <x:c r="L247" t="n">
        <x:v>720</x:v>
      </x:c>
      <x:c r="M247" t="str">
        <x:v>ROTA RODOVIARIO</x:v>
      </x:c>
      <x:c r="N247" t="str">
        <x:v>27/02/2026</x:v>
      </x:c>
      <x:c r="O247"/>
      <x:c r="P247" t="str">
        <x:v>SEM_ICMS</x:v>
      </x:c>
      <x:c r="Q247" t="str">
        <x:v>SIM</x:v>
      </x:c>
      <x:c r="R247" t="str">
        <x:v>0,02%</x:v>
      </x:c>
      <x:c r="S247" t="str">
        <x:v>SIM</x:v>
      </x:c>
      <x:c r="T247" t="str">
        <x:v>3,50</x:v>
      </x:c>
      <x:c r="U247" t="str">
        <x:v>100</x:v>
      </x:c>
      <x:c r="V247" t="str">
        <x:v>SIM</x:v>
      </x:c>
      <x:c r="W247" t="str">
        <x:v>RODOTEC</x:v>
      </x:c>
      <x:c r="X247" s="12" t="str">
        <x:v>KG_TON</x:v>
      </x:c>
      <x:c r="Y247" s="12" t="str">
        <x:v>KG</x:v>
      </x:c>
      <x:c r="Z247" s="12" t="str">
        <x:v>2.6.43</x:v>
      </x:c>
      <x:c r="AA247" s="12" t="str">
        <x:v>Frete por kg/tonelada + GRIS/Pedágio opcionais conforme XML.</x:v>
      </x:c>
    </x:row>
    <x:row r="248">
      <x:c r="A248" s="12" t="str">
        <x:v>REG_RODOTEC_0248</x:v>
      </x:c>
      <x:c r="B248" s="12" t="str">
        <x:v>W_S_TRANSPORTES</x:v>
      </x:c>
      <x:c r="C248" s="12" t="str">
        <x:v>RODOTEC RO INTERIOR</x:v>
      </x:c>
      <x:c r="D248" s="12" t="str">
        <x:v>Vale do Paraíso</x:v>
      </x:c>
      <x:c r="E248" s="12" t="str">
        <x:v>RO</x:v>
      </x:c>
      <x:c r="F248" s="12" t="str">
        <x:v>30%</x:v>
      </x:c>
      <x:c r="G248" s="12" t="n">
        <x:v>100</x:v>
      </x:c>
      <x:c r="H248" s="12"/>
      <x:c r="I248" s="12" t="str">
        <x:v>rodotec.pdf</x:v>
      </x:c>
      <x:c r="J248" s="12" t="str">
        <x:v>2</x:v>
      </x:c>
      <x:c r="K248" s="12" t="str">
        <x:v>REVISAR_OK</x:v>
      </x:c>
      <x:c r="L248" t="n">
        <x:v>720</x:v>
      </x:c>
      <x:c r="M248" t="str">
        <x:v>ROTA RODOVIARIO</x:v>
      </x:c>
      <x:c r="N248" t="str">
        <x:v>27/02/2026</x:v>
      </x:c>
      <x:c r="O248"/>
      <x:c r="P248" t="str">
        <x:v>SEM_ICMS</x:v>
      </x:c>
      <x:c r="Q248" t="str">
        <x:v>SIM</x:v>
      </x:c>
      <x:c r="R248" t="str">
        <x:v>0,02%</x:v>
      </x:c>
      <x:c r="S248" t="str">
        <x:v>SIM</x:v>
      </x:c>
      <x:c r="T248" t="str">
        <x:v>3,50</x:v>
      </x:c>
      <x:c r="U248" t="str">
        <x:v>100</x:v>
      </x:c>
      <x:c r="V248" t="str">
        <x:v>SIM</x:v>
      </x:c>
      <x:c r="W248" t="str">
        <x:v>RODOTEC</x:v>
      </x:c>
      <x:c r="X248" s="12" t="str">
        <x:v>KG_TON</x:v>
      </x:c>
      <x:c r="Y248" s="12" t="str">
        <x:v>KG</x:v>
      </x:c>
      <x:c r="Z248" s="12" t="str">
        <x:v>2.6.43</x:v>
      </x:c>
      <x:c r="AA248" s="12" t="str">
        <x:v>Frete por kg/tonelada + GRIS/Pedágio opcionais conforme XML.</x:v>
      </x:c>
    </x:row>
    <x:row r="249">
      <x:c r="A249" s="12" t="str">
        <x:v>REG_RODOTEC_0249</x:v>
      </x:c>
      <x:c r="B249" s="12" t="str">
        <x:v>W_S_TRANSPORTES</x:v>
      </x:c>
      <x:c r="C249" s="12" t="str">
        <x:v>RODOTEC RO INTERIOR</x:v>
      </x:c>
      <x:c r="D249" s="12" t="str">
        <x:v>Vista Alegre do Abunã</x:v>
      </x:c>
      <x:c r="E249" s="12" t="str">
        <x:v>RO</x:v>
      </x:c>
      <x:c r="F249" s="12" t="str">
        <x:v>30%</x:v>
      </x:c>
      <x:c r="G249" s="12" t="n">
        <x:v>100</x:v>
      </x:c>
      <x:c r="H249" s="12"/>
      <x:c r="I249" s="12" t="str">
        <x:v>rodotec.pdf</x:v>
      </x:c>
      <x:c r="J249" s="12" t="str">
        <x:v>2</x:v>
      </x:c>
      <x:c r="K249" s="12" t="str">
        <x:v>REVISAR_OK</x:v>
      </x:c>
      <x:c r="L249" t="n">
        <x:v>730</x:v>
      </x:c>
      <x:c r="M249" t="str">
        <x:v>ROTA RODOVIARIO</x:v>
      </x:c>
      <x:c r="N249" t="str">
        <x:v>27/02/2026</x:v>
      </x:c>
      <x:c r="O249"/>
      <x:c r="P249" t="str">
        <x:v>SEM_ICMS</x:v>
      </x:c>
      <x:c r="Q249" t="str">
        <x:v>SIM</x:v>
      </x:c>
      <x:c r="R249" t="str">
        <x:v>0,02%</x:v>
      </x:c>
      <x:c r="S249" t="str">
        <x:v>SIM</x:v>
      </x:c>
      <x:c r="T249" t="str">
        <x:v>3,50</x:v>
      </x:c>
      <x:c r="U249" t="str">
        <x:v>100</x:v>
      </x:c>
      <x:c r="V249" t="str">
        <x:v>SIM</x:v>
      </x:c>
      <x:c r="W249" t="str">
        <x:v>RODOTEC</x:v>
      </x:c>
      <x:c r="X249" s="12" t="str">
        <x:v>KG_TON</x:v>
      </x:c>
      <x:c r="Y249" s="12" t="str">
        <x:v>KG</x:v>
      </x:c>
      <x:c r="Z249" s="12" t="str">
        <x:v>2.6.43</x:v>
      </x:c>
      <x:c r="AA249" s="12" t="str">
        <x:v>Frete por kg/tonelada + GRIS/Pedágio opcionais conforme XML.</x:v>
      </x:c>
    </x:row>
    <x:row r="250">
      <x:c r="A250" s="12" t="str">
        <x:v>REG_RODOTEC_0250</x:v>
      </x:c>
      <x:c r="B250" s="12" t="str">
        <x:v>W_S_TRANSPORTES</x:v>
      </x:c>
      <x:c r="C250" s="12" t="str">
        <x:v>RODOTEC MT INTERIOR</x:v>
      </x:c>
      <x:c r="D250" s="12" t="str">
        <x:v>Rondolândia</x:v>
      </x:c>
      <x:c r="E250" s="12" t="str">
        <x:v>MT</x:v>
      </x:c>
      <x:c r="F250" s="12" t="str">
        <x:v>30%</x:v>
      </x:c>
      <x:c r="G250" s="12" t="n">
        <x:v>100</x:v>
      </x:c>
      <x:c r="H250" s="12"/>
      <x:c r="I250" s="12" t="str">
        <x:v>rodotec.pdf</x:v>
      </x:c>
      <x:c r="J250" s="12" t="str">
        <x:v>2</x:v>
      </x:c>
      <x:c r="K250" s="12" t="str">
        <x:v>REVISAR_OK</x:v>
      </x:c>
      <x:c r="L250" t="n">
        <x:v>980</x:v>
      </x:c>
      <x:c r="M250" t="str">
        <x:v>ROTA RODOVIARIO</x:v>
      </x:c>
      <x:c r="N250" t="str">
        <x:v>27/02/2026</x:v>
      </x:c>
      <x:c r="O250"/>
      <x:c r="P250" t="str">
        <x:v>SEM_ICMS</x:v>
      </x:c>
      <x:c r="Q250" t="str">
        <x:v>SIM</x:v>
      </x:c>
      <x:c r="R250" t="str">
        <x:v>0,02%</x:v>
      </x:c>
      <x:c r="S250" t="str">
        <x:v>SIM</x:v>
      </x:c>
      <x:c r="T250" t="str">
        <x:v>3,50</x:v>
      </x:c>
      <x:c r="U250" t="str">
        <x:v>100</x:v>
      </x:c>
      <x:c r="V250" t="str">
        <x:v>SIM</x:v>
      </x:c>
      <x:c r="W250" t="str">
        <x:v>RODOTEC</x:v>
      </x:c>
      <x:c r="X250" s="12" t="str">
        <x:v>KG_TON</x:v>
      </x:c>
      <x:c r="Y250" s="12" t="str">
        <x:v>KG</x:v>
      </x:c>
      <x:c r="Z250" s="12" t="str">
        <x:v>2.6.43</x:v>
      </x:c>
      <x:c r="AA250" s="12" t="str">
        <x:v>Frete por kg/tonelada + GRIS/Pedágio opcionais conforme XML.</x:v>
      </x:c>
    </x:row>
    <x:row r="251">
      <x:c r="A251" s="12" t="str">
        <x:v>REG_RODOTEC_0251</x:v>
      </x:c>
      <x:c r="B251" s="12" t="str">
        <x:v>W_S_TRANSPORTES</x:v>
      </x:c>
      <x:c r="C251" s="12" t="str">
        <x:v>RODOTEC AM INTERIOR</x:v>
      </x:c>
      <x:c r="D251" s="12" t="str">
        <x:v>Humaitá</x:v>
      </x:c>
      <x:c r="E251" s="12" t="str">
        <x:v>AM</x:v>
      </x:c>
      <x:c r="F251" s="12" t="str">
        <x:v>30%</x:v>
      </x:c>
      <x:c r="G251" s="12" t="n">
        <x:v>100</x:v>
      </x:c>
      <x:c r="H251" s="12"/>
      <x:c r="I251" s="12" t="str">
        <x:v>rodotec.pdf</x:v>
      </x:c>
      <x:c r="J251" s="12" t="str">
        <x:v>2</x:v>
      </x:c>
      <x:c r="K251" s="12" t="str">
        <x:v>REVISAR_OK</x:v>
      </x:c>
      <x:c r="L251" t="n">
        <x:v>980</x:v>
      </x:c>
      <x:c r="M251" t="str">
        <x:v>ROTA RODOVIARIO</x:v>
      </x:c>
      <x:c r="N251" t="str">
        <x:v>27/02/2026</x:v>
      </x:c>
      <x:c r="O251" t="str">
        <x:v>PDF: Humaitá (Amazonas).</x:v>
      </x:c>
      <x:c r="P251" t="str">
        <x:v>SEM_ICMS</x:v>
      </x:c>
      <x:c r="Q251" t="str">
        <x:v>SIM</x:v>
      </x:c>
      <x:c r="R251" t="str">
        <x:v>0,02%</x:v>
      </x:c>
      <x:c r="S251" t="str">
        <x:v>SIM</x:v>
      </x:c>
      <x:c r="T251" t="str">
        <x:v>3,50</x:v>
      </x:c>
      <x:c r="U251" t="str">
        <x:v>100</x:v>
      </x:c>
      <x:c r="V251" t="str">
        <x:v>SIM</x:v>
      </x:c>
      <x:c r="W251" t="str">
        <x:v>RODOTEC</x:v>
      </x:c>
      <x:c r="X251" s="12" t="str">
        <x:v>KG_TON</x:v>
      </x:c>
      <x:c r="Y251" s="12" t="str">
        <x:v>KG</x:v>
      </x:c>
      <x:c r="Z251" s="12" t="str">
        <x:v>2.6.43</x:v>
      </x:c>
      <x:c r="AA251" s="12" t="str">
        <x:v>Frete por kg/tonelada + GRIS/Pedágio opcionais conforme XML.</x:v>
      </x:c>
    </x:row>
    <x:row r="252">
      <x:c r="A252" s="12" t="str">
        <x:v>REG_RODOTEC_0252</x:v>
      </x:c>
      <x:c r="B252" s="12" t="str">
        <x:v>W_S_TRANSPORTES</x:v>
      </x:c>
      <x:c r="C252" s="12" t="str">
        <x:v>RODOTEC AM INTERIOR</x:v>
      </x:c>
      <x:c r="D252" s="12" t="str">
        <x:v>Lábrea</x:v>
      </x:c>
      <x:c r="E252" s="12" t="str">
        <x:v>AM</x:v>
      </x:c>
      <x:c r="F252" s="12" t="str">
        <x:v>30%</x:v>
      </x:c>
      <x:c r="G252" s="12" t="n">
        <x:v>100</x:v>
      </x:c>
      <x:c r="H252" s="12"/>
      <x:c r="I252" s="12" t="str">
        <x:v>rodotec.pdf</x:v>
      </x:c>
      <x:c r="J252" s="12" t="str">
        <x:v>2</x:v>
      </x:c>
      <x:c r="K252" s="12" t="str">
        <x:v>REVISAR_OK</x:v>
      </x:c>
      <x:c r="L252" t="n">
        <x:v>980</x:v>
      </x:c>
      <x:c r="M252" t="str">
        <x:v>ROTA RODO/FLUVIAL</x:v>
      </x:c>
      <x:c r="N252" t="str">
        <x:v>27/02/2026</x:v>
      </x:c>
      <x:c r="O252" t="str">
        <x:v>PDF: Lábrea-Am.</x:v>
      </x:c>
      <x:c r="P252" t="str">
        <x:v>SEM_ICMS</x:v>
      </x:c>
      <x:c r="Q252" t="str">
        <x:v>SIM</x:v>
      </x:c>
      <x:c r="R252" t="str">
        <x:v>0,02%</x:v>
      </x:c>
      <x:c r="S252" t="str">
        <x:v>SIM</x:v>
      </x:c>
      <x:c r="T252" t="str">
        <x:v>3,50</x:v>
      </x:c>
      <x:c r="U252" t="str">
        <x:v>100</x:v>
      </x:c>
      <x:c r="V252" t="str">
        <x:v>SIM</x:v>
      </x:c>
      <x:c r="W252" t="str">
        <x:v>RODOTEC</x:v>
      </x:c>
      <x:c r="X252" s="12" t="str">
        <x:v>KG_TON</x:v>
      </x:c>
      <x:c r="Y252" s="12" t="str">
        <x:v>KG</x:v>
      </x:c>
      <x:c r="Z252" s="12" t="str">
        <x:v>2.6.43</x:v>
      </x:c>
      <x:c r="AA252" s="12" t="str">
        <x:v>Frete por kg/tonelada + GRIS/Pedágio opcionais conforme XML.</x:v>
      </x:c>
    </x:row>
    <x:row r="253">
      <x:c r="A253" s="12" t="str">
        <x:v>REG_RODOTEC_0253</x:v>
      </x:c>
      <x:c r="B253" s="12" t="str">
        <x:v>W_S_TRANSPORTES</x:v>
      </x:c>
      <x:c r="C253" s="12" t="str">
        <x:v>RODOTEC AM INTERIOR</x:v>
      </x:c>
      <x:c r="D253" s="12" t="str">
        <x:v>Canutama</x:v>
      </x:c>
      <x:c r="E253" s="12" t="str">
        <x:v>AM</x:v>
      </x:c>
      <x:c r="F253" s="12" t="str">
        <x:v>35%</x:v>
      </x:c>
      <x:c r="G253" s="12" t="n">
        <x:v>100</x:v>
      </x:c>
      <x:c r="H253" s="12"/>
      <x:c r="I253" s="12" t="str">
        <x:v>rodotec.pdf</x:v>
      </x:c>
      <x:c r="J253" s="12" t="str">
        <x:v>2</x:v>
      </x:c>
      <x:c r="K253" s="12" t="str">
        <x:v>REVISAR_OK</x:v>
      </x:c>
      <x:c r="L253" t="n">
        <x:v>980</x:v>
      </x:c>
      <x:c r="M253" t="str">
        <x:v>ROTA RODOVIARIO</x:v>
      </x:c>
      <x:c r="N253" t="str">
        <x:v>27/02/2026</x:v>
      </x:c>
      <x:c r="O253" t="str">
        <x:v>PDF: Canutama-Am.</x:v>
      </x:c>
      <x:c r="P253" t="str">
        <x:v>SEM_ICMS</x:v>
      </x:c>
      <x:c r="Q253" t="str">
        <x:v>SIM</x:v>
      </x:c>
      <x:c r="R253" t="str">
        <x:v>0,02%</x:v>
      </x:c>
      <x:c r="S253" t="str">
        <x:v>SIM</x:v>
      </x:c>
      <x:c r="T253" t="str">
        <x:v>3,50</x:v>
      </x:c>
      <x:c r="U253" t="str">
        <x:v>100</x:v>
      </x:c>
      <x:c r="V253" t="str">
        <x:v>SIM</x:v>
      </x:c>
      <x:c r="W253" t="str">
        <x:v>RODOTEC</x:v>
      </x:c>
      <x:c r="X253" s="12" t="str">
        <x:v>KG_TON</x:v>
      </x:c>
      <x:c r="Y253" s="12" t="str">
        <x:v>KG</x:v>
      </x:c>
      <x:c r="Z253" s="12" t="str">
        <x:v>2.6.43</x:v>
      </x:c>
      <x:c r="AA253" s="12" t="str">
        <x:v>Frete por kg/tonelada + GRIS/Pedágio opcionais conforme XML.</x:v>
      </x:c>
    </x:row>
    <x:row r="254">
      <x:c r="A254" s="12" t="str">
        <x:v>REG_RODOTEC_0254</x:v>
      </x:c>
      <x:c r="B254" s="12" t="str">
        <x:v>W_S_TRANSPORTES</x:v>
      </x:c>
      <x:c r="C254" s="12" t="str">
        <x:v>RODOTEC AM INTERIOR</x:v>
      </x:c>
      <x:c r="D254" s="12" t="str">
        <x:v>Apuí</x:v>
      </x:c>
      <x:c r="E254" s="12" t="str">
        <x:v>AM</x:v>
      </x:c>
      <x:c r="F254" s="12" t="str">
        <x:v>35%</x:v>
      </x:c>
      <x:c r="G254" s="12" t="n">
        <x:v>100</x:v>
      </x:c>
      <x:c r="H254" s="12"/>
      <x:c r="I254" s="12" t="str">
        <x:v>rodotec.pdf</x:v>
      </x:c>
      <x:c r="J254" s="12" t="str">
        <x:v>2</x:v>
      </x:c>
      <x:c r="K254" s="12" t="str">
        <x:v>REVISAR_OK</x:v>
      </x:c>
      <x:c r="L254" t="n">
        <x:v>980</x:v>
      </x:c>
      <x:c r="M254" t="str">
        <x:v>ROTA RODOVIARIO</x:v>
      </x:c>
      <x:c r="N254" t="str">
        <x:v>27/02/2026</x:v>
      </x:c>
      <x:c r="O254" t="str">
        <x:v>PDF: Apuí-Am.</x:v>
      </x:c>
      <x:c r="P254" t="str">
        <x:v>SEM_ICMS</x:v>
      </x:c>
      <x:c r="Q254" t="str">
        <x:v>SIM</x:v>
      </x:c>
      <x:c r="R254" t="str">
        <x:v>0,02%</x:v>
      </x:c>
      <x:c r="S254" t="str">
        <x:v>SIM</x:v>
      </x:c>
      <x:c r="T254" t="str">
        <x:v>3,50</x:v>
      </x:c>
      <x:c r="U254" t="str">
        <x:v>100</x:v>
      </x:c>
      <x:c r="V254" t="str">
        <x:v>SIM</x:v>
      </x:c>
      <x:c r="W254" t="str">
        <x:v>RODOTEC</x:v>
      </x:c>
      <x:c r="X254" s="12" t="str">
        <x:v>KG_TON</x:v>
      </x:c>
      <x:c r="Y254" s="12" t="str">
        <x:v>KG</x:v>
      </x:c>
      <x:c r="Z254" s="12" t="str">
        <x:v>2.6.43</x:v>
      </x:c>
      <x:c r="AA254" s="12" t="str">
        <x:v>Frete por kg/tonelada + GRIS/Pedágio opcionais conforme XML.</x:v>
      </x:c>
    </x:row>
    <x:row r="255">
      <x:c r="A255" s="12" t="str">
        <x:v>REG_RODOTEC_0255</x:v>
      </x:c>
      <x:c r="B255" s="12" t="str">
        <x:v>W_S_TRANSPORTES</x:v>
      </x:c>
      <x:c r="C255" s="12" t="str">
        <x:v>RODOTEC AM INTERIOR</x:v>
      </x:c>
      <x:c r="D255" s="12" t="str">
        <x:v>Santo Antônio do Matupi</x:v>
      </x:c>
      <x:c r="E255" s="12" t="str">
        <x:v>AM</x:v>
      </x:c>
      <x:c r="F255" s="12" t="str">
        <x:v>35%</x:v>
      </x:c>
      <x:c r="G255" s="12" t="n">
        <x:v>100</x:v>
      </x:c>
      <x:c r="H255" s="12"/>
      <x:c r="I255" s="12" t="str">
        <x:v>rodotec.pdf</x:v>
      </x:c>
      <x:c r="J255" s="12" t="str">
        <x:v>2</x:v>
      </x:c>
      <x:c r="K255" s="12" t="str">
        <x:v>REVISAR_OK</x:v>
      </x:c>
      <x:c r="L255" t="n">
        <x:v>980</x:v>
      </x:c>
      <x:c r="M255" t="str">
        <x:v>ROTA RODO/FLUVIAL</x:v>
      </x:c>
      <x:c r="N255" t="str">
        <x:v>27/02/2026</x:v>
      </x:c>
      <x:c r="O255" t="str">
        <x:v>PDF: Santo Antonio Do Matupi-Am.</x:v>
      </x:c>
      <x:c r="P255" t="str">
        <x:v>SEM_ICMS</x:v>
      </x:c>
      <x:c r="Q255" t="str">
        <x:v>SIM</x:v>
      </x:c>
      <x:c r="R255" t="str">
        <x:v>0,02%</x:v>
      </x:c>
      <x:c r="S255" t="str">
        <x:v>SIM</x:v>
      </x:c>
      <x:c r="T255" t="str">
        <x:v>3,50</x:v>
      </x:c>
      <x:c r="U255" t="str">
        <x:v>100</x:v>
      </x:c>
      <x:c r="V255" t="str">
        <x:v>SIM</x:v>
      </x:c>
      <x:c r="W255" t="str">
        <x:v>RODOTEC</x:v>
      </x:c>
      <x:c r="X255" s="12" t="str">
        <x:v>KG_TON</x:v>
      </x:c>
      <x:c r="Y255" s="12" t="str">
        <x:v>KG</x:v>
      </x:c>
      <x:c r="Z255" s="12" t="str">
        <x:v>2.6.43</x:v>
      </x:c>
      <x:c r="AA255" s="12" t="str">
        <x:v>Frete por kg/tonelada + GRIS/Pedágio opcionais conforme XML.</x:v>
      </x:c>
    </x:row>
    <x:row r="256">
      <x:c r="A256" s="12" t="str">
        <x:v>REG_RODOTEC_0256</x:v>
      </x:c>
      <x:c r="B256" s="12" t="str">
        <x:v>W_S_TRANSPORTES</x:v>
      </x:c>
      <x:c r="C256" s="12" t="str">
        <x:v>RODOTEC AM INTERIOR</x:v>
      </x:c>
      <x:c r="D256" s="12" t="str">
        <x:v>Manicoré</x:v>
      </x:c>
      <x:c r="E256" s="12" t="str">
        <x:v>AM</x:v>
      </x:c>
      <x:c r="F256" s="12" t="str">
        <x:v>30%</x:v>
      </x:c>
      <x:c r="G256" s="12" t="n">
        <x:v>100</x:v>
      </x:c>
      <x:c r="H256" s="12"/>
      <x:c r="I256" s="12" t="str">
        <x:v>rodotec.pdf</x:v>
      </x:c>
      <x:c r="J256" s="12" t="str">
        <x:v>2</x:v>
      </x:c>
      <x:c r="K256" s="12" t="str">
        <x:v>REVISAR_OK</x:v>
      </x:c>
      <x:c r="L256" t="n">
        <x:v>980</x:v>
      </x:c>
      <x:c r="M256" t="str">
        <x:v>ROTA RODO/FLUVIAL</x:v>
      </x:c>
      <x:c r="N256" t="str">
        <x:v>27/02/2026</x:v>
      </x:c>
      <x:c r="O256" t="str">
        <x:v>PDF: Manicore-Am.</x:v>
      </x:c>
      <x:c r="P256" t="str">
        <x:v>SEM_ICMS</x:v>
      </x:c>
      <x:c r="Q256" t="str">
        <x:v>SIM</x:v>
      </x:c>
      <x:c r="R256" t="str">
        <x:v>0,02%</x:v>
      </x:c>
      <x:c r="S256" t="str">
        <x:v>SIM</x:v>
      </x:c>
      <x:c r="T256" t="str">
        <x:v>3,50</x:v>
      </x:c>
      <x:c r="U256" t="str">
        <x:v>100</x:v>
      </x:c>
      <x:c r="V256" t="str">
        <x:v>SIM</x:v>
      </x:c>
      <x:c r="W256" t="str">
        <x:v>RODOTEC</x:v>
      </x:c>
      <x:c r="X256" s="12" t="str">
        <x:v>KG_TON</x:v>
      </x:c>
      <x:c r="Y256" s="12" t="str">
        <x:v>KG</x:v>
      </x:c>
      <x:c r="Z256" s="12" t="str">
        <x:v>2.6.43</x:v>
      </x:c>
      <x:c r="AA256" s="12" t="str">
        <x:v>Frete por kg/tonelada + GRIS/Pedágio opcionais conforme XML.</x:v>
      </x:c>
    </x:row>
    <x:row r="257">
      <x:c r="A257" s="12" t="str">
        <x:v>REG_RODOTEC_0257</x:v>
      </x:c>
      <x:c r="B257" s="12" t="str">
        <x:v>W_S_TRANSPORTES</x:v>
      </x:c>
      <x:c r="C257" s="12" t="str">
        <x:v>RODOTEC AM INTERIOR</x:v>
      </x:c>
      <x:c r="D257" s="12" t="str">
        <x:v>Boca do Acre</x:v>
      </x:c>
      <x:c r="E257" s="12" t="str">
        <x:v>AM</x:v>
      </x:c>
      <x:c r="F257" s="12" t="str">
        <x:v>35%</x:v>
      </x:c>
      <x:c r="G257" s="12" t="n">
        <x:v>100</x:v>
      </x:c>
      <x:c r="H257" s="12"/>
      <x:c r="I257" s="12" t="str">
        <x:v>rodotec.pdf</x:v>
      </x:c>
      <x:c r="J257" s="12" t="str">
        <x:v>2</x:v>
      </x:c>
      <x:c r="K257" s="12" t="str">
        <x:v>REVISAR_OK</x:v>
      </x:c>
      <x:c r="L257" t="n">
        <x:v>1240</x:v>
      </x:c>
      <x:c r="M257" t="str">
        <x:v>ROTA RODOVIARIO</x:v>
      </x:c>
      <x:c r="N257" t="str">
        <x:v>27/02/2026</x:v>
      </x:c>
      <x:c r="O257" t="str">
        <x:v>PDF: Boca Do Acre-Am.</x:v>
      </x:c>
      <x:c r="P257" t="str">
        <x:v>SEM_ICMS</x:v>
      </x:c>
      <x:c r="Q257" t="str">
        <x:v>SIM</x:v>
      </x:c>
      <x:c r="R257" t="str">
        <x:v>0,02%</x:v>
      </x:c>
      <x:c r="S257" t="str">
        <x:v>SIM</x:v>
      </x:c>
      <x:c r="T257" t="str">
        <x:v>3,50</x:v>
      </x:c>
      <x:c r="U257" t="str">
        <x:v>100</x:v>
      </x:c>
      <x:c r="V257" t="str">
        <x:v>SIM</x:v>
      </x:c>
      <x:c r="W257" t="str">
        <x:v>RODOTEC</x:v>
      </x:c>
      <x:c r="X257" s="12" t="str">
        <x:v>KG_TON</x:v>
      </x:c>
      <x:c r="Y257" s="12" t="str">
        <x:v>KG</x:v>
      </x:c>
      <x:c r="Z257" s="12" t="str">
        <x:v>2.6.43</x:v>
      </x:c>
      <x:c r="AA257" s="12" t="str">
        <x:v>Frete por kg/tonelada + GRIS/Pedágio opcionais conforme XML.</x:v>
      </x:c>
    </x:row>
    <x:row r="258">
      <x:c r="A258" s="12" t="str">
        <x:v>REG_RODOTEC_0258</x:v>
      </x:c>
      <x:c r="B258" s="12" t="str">
        <x:v>W_S_TRANSPORTES</x:v>
      </x:c>
      <x:c r="C258" s="12" t="str">
        <x:v>RODOTEC AC CAPITAL PL</x:v>
      </x:c>
      <x:c r="D258" s="12" t="str">
        <x:v>Rio Branco</x:v>
      </x:c>
      <x:c r="E258" s="12" t="str">
        <x:v>AC</x:v>
      </x:c>
      <x:c r="F258" s="12" t="str">
        <x:v>30%</x:v>
      </x:c>
      <x:c r="G258" s="12" t="n">
        <x:v>100</x:v>
      </x:c>
      <x:c r="H258" s="12"/>
      <x:c r="I258" s="12" t="str">
        <x:v>rodotec.pdf</x:v>
      </x:c>
      <x:c r="J258" s="12" t="str">
        <x:v>2</x:v>
      </x:c>
      <x:c r="K258" s="12" t="str">
        <x:v>REVISAR_OK</x:v>
      </x:c>
      <x:c r="L258" t="n">
        <x:v>850</x:v>
      </x:c>
      <x:c r="M258" t="str">
        <x:v>ROTA RODOVIARIO</x:v>
      </x:c>
      <x:c r="N258" t="str">
        <x:v>27/02/2026</x:v>
      </x:c>
      <x:c r="O258"/>
      <x:c r="P258" t="str">
        <x:v>SEM_ICMS</x:v>
      </x:c>
      <x:c r="Q258" t="str">
        <x:v>SIM</x:v>
      </x:c>
      <x:c r="R258" t="str">
        <x:v>0,02%</x:v>
      </x:c>
      <x:c r="S258" t="str">
        <x:v>SIM</x:v>
      </x:c>
      <x:c r="T258" t="str">
        <x:v>3,50</x:v>
      </x:c>
      <x:c r="U258" t="str">
        <x:v>100</x:v>
      </x:c>
      <x:c r="V258" t="str">
        <x:v>SIM</x:v>
      </x:c>
      <x:c r="W258" t="str">
        <x:v>RODOTEC</x:v>
      </x:c>
      <x:c r="X258" s="12" t="str">
        <x:v>KG_TON</x:v>
      </x:c>
      <x:c r="Y258" s="12" t="str">
        <x:v>KG</x:v>
      </x:c>
      <x:c r="Z258" s="12" t="str">
        <x:v>2.6.43</x:v>
      </x:c>
      <x:c r="AA258" s="12" t="str">
        <x:v>Frete por kg/tonelada + GRIS/Pedágio opcionais conforme XML.</x:v>
      </x:c>
    </x:row>
    <x:row r="259">
      <x:c r="A259" s="12" t="str">
        <x:v>REG_RODOTEC_0259</x:v>
      </x:c>
      <x:c r="B259" s="12" t="str">
        <x:v>W_S_TRANSPORTES</x:v>
      </x:c>
      <x:c r="C259" s="12" t="str">
        <x:v>RODOTEC AC INTERIOR A</x:v>
      </x:c>
      <x:c r="D259" s="12" t="str">
        <x:v>Plácido de Castro</x:v>
      </x:c>
      <x:c r="E259" s="12" t="str">
        <x:v>AC</x:v>
      </x:c>
      <x:c r="F259" s="12" t="str">
        <x:v>30%</x:v>
      </x:c>
      <x:c r="G259" s="12" t="n">
        <x:v>100</x:v>
      </x:c>
      <x:c r="H259" s="12"/>
      <x:c r="I259" s="12" t="str">
        <x:v>rodotec.pdf</x:v>
      </x:c>
      <x:c r="J259" s="12" t="str">
        <x:v>2</x:v>
      </x:c>
      <x:c r="K259" s="12" t="str">
        <x:v>REVISAR_OK</x:v>
      </x:c>
      <x:c r="L259" t="n">
        <x:v>910</x:v>
      </x:c>
      <x:c r="M259" t="str">
        <x:v>ROTA RODOVIARIO</x:v>
      </x:c>
      <x:c r="N259" t="str">
        <x:v>27/02/2026</x:v>
      </x:c>
      <x:c r="O259"/>
      <x:c r="P259" t="str">
        <x:v>SEM_ICMS</x:v>
      </x:c>
      <x:c r="Q259" t="str">
        <x:v>SIM</x:v>
      </x:c>
      <x:c r="R259" t="str">
        <x:v>0,02%</x:v>
      </x:c>
      <x:c r="S259" t="str">
        <x:v>SIM</x:v>
      </x:c>
      <x:c r="T259" t="str">
        <x:v>3,50</x:v>
      </x:c>
      <x:c r="U259" t="str">
        <x:v>100</x:v>
      </x:c>
      <x:c r="V259" t="str">
        <x:v>SIM</x:v>
      </x:c>
      <x:c r="W259" t="str">
        <x:v>RODOTEC</x:v>
      </x:c>
      <x:c r="X259" s="12" t="str">
        <x:v>KG_TON</x:v>
      </x:c>
      <x:c r="Y259" s="12" t="str">
        <x:v>KG</x:v>
      </x:c>
      <x:c r="Z259" s="12" t="str">
        <x:v>2.6.43</x:v>
      </x:c>
      <x:c r="AA259" s="12" t="str">
        <x:v>Frete por kg/tonelada + GRIS/Pedágio opcionais conforme XML.</x:v>
      </x:c>
    </x:row>
    <x:row r="260">
      <x:c r="A260" s="12" t="str">
        <x:v>REG_RODOTEC_0260</x:v>
      </x:c>
      <x:c r="B260" s="12" t="str">
        <x:v>W_S_TRANSPORTES</x:v>
      </x:c>
      <x:c r="C260" s="12" t="str">
        <x:v>RODOTEC AC INTERIOR A</x:v>
      </x:c>
      <x:c r="D260" s="12" t="str">
        <x:v>Epitaciolândia</x:v>
      </x:c>
      <x:c r="E260" s="12" t="str">
        <x:v>AC</x:v>
      </x:c>
      <x:c r="F260" s="12" t="str">
        <x:v>35%</x:v>
      </x:c>
      <x:c r="G260" s="12" t="n">
        <x:v>100</x:v>
      </x:c>
      <x:c r="H260" s="12"/>
      <x:c r="I260" s="12" t="str">
        <x:v>rodotec.pdf</x:v>
      </x:c>
      <x:c r="J260" s="12" t="str">
        <x:v>2</x:v>
      </x:c>
      <x:c r="K260" s="12" t="str">
        <x:v>REVISAR_OK</x:v>
      </x:c>
      <x:c r="L260" t="n">
        <x:v>910</x:v>
      </x:c>
      <x:c r="M260" t="str">
        <x:v>ROTA RODOVIARIO</x:v>
      </x:c>
      <x:c r="N260" t="str">
        <x:v>27/02/2026</x:v>
      </x:c>
      <x:c r="O260"/>
      <x:c r="P260" t="str">
        <x:v>SEM_ICMS</x:v>
      </x:c>
      <x:c r="Q260" t="str">
        <x:v>SIM</x:v>
      </x:c>
      <x:c r="R260" t="str">
        <x:v>0,02%</x:v>
      </x:c>
      <x:c r="S260" t="str">
        <x:v>SIM</x:v>
      </x:c>
      <x:c r="T260" t="str">
        <x:v>3,50</x:v>
      </x:c>
      <x:c r="U260" t="str">
        <x:v>100</x:v>
      </x:c>
      <x:c r="V260" t="str">
        <x:v>SIM</x:v>
      </x:c>
      <x:c r="W260" t="str">
        <x:v>RODOTEC</x:v>
      </x:c>
      <x:c r="X260" s="12" t="str">
        <x:v>KG_TON</x:v>
      </x:c>
      <x:c r="Y260" s="12" t="str">
        <x:v>KG</x:v>
      </x:c>
      <x:c r="Z260" s="12" t="str">
        <x:v>2.6.43</x:v>
      </x:c>
      <x:c r="AA260" s="12" t="str">
        <x:v>Frete por kg/tonelada + GRIS/Pedágio opcionais conforme XML.</x:v>
      </x:c>
    </x:row>
    <x:row r="261">
      <x:c r="A261" s="12" t="str">
        <x:v>REG_RODOTEC_0261</x:v>
      </x:c>
      <x:c r="B261" s="12" t="str">
        <x:v>W_S_TRANSPORTES</x:v>
      </x:c>
      <x:c r="C261" s="12" t="str">
        <x:v>RODOTEC AC INTERIOR A</x:v>
      </x:c>
      <x:c r="D261" s="12" t="str">
        <x:v>Capixaba</x:v>
      </x:c>
      <x:c r="E261" s="12" t="str">
        <x:v>AC</x:v>
      </x:c>
      <x:c r="F261" s="12" t="str">
        <x:v>35%</x:v>
      </x:c>
      <x:c r="G261" s="12" t="n">
        <x:v>100</x:v>
      </x:c>
      <x:c r="H261" s="12"/>
      <x:c r="I261" s="12" t="str">
        <x:v>rodotec.pdf</x:v>
      </x:c>
      <x:c r="J261" s="12" t="str">
        <x:v>2</x:v>
      </x:c>
      <x:c r="K261" s="12" t="str">
        <x:v>REVISAR_OK</x:v>
      </x:c>
      <x:c r="L261" t="n">
        <x:v>1240</x:v>
      </x:c>
      <x:c r="M261" t="str">
        <x:v>ROTA RODOVIARIO</x:v>
      </x:c>
      <x:c r="N261" t="str">
        <x:v>27/02/2026</x:v>
      </x:c>
      <x:c r="O261"/>
      <x:c r="P261" t="str">
        <x:v>SEM_ICMS</x:v>
      </x:c>
      <x:c r="Q261" t="str">
        <x:v>SIM</x:v>
      </x:c>
      <x:c r="R261" t="str">
        <x:v>0,02%</x:v>
      </x:c>
      <x:c r="S261" t="str">
        <x:v>SIM</x:v>
      </x:c>
      <x:c r="T261" t="str">
        <x:v>3,50</x:v>
      </x:c>
      <x:c r="U261" t="str">
        <x:v>100</x:v>
      </x:c>
      <x:c r="V261" t="str">
        <x:v>SIM</x:v>
      </x:c>
      <x:c r="W261" t="str">
        <x:v>RODOTEC</x:v>
      </x:c>
      <x:c r="X261" s="12" t="str">
        <x:v>KG_TON</x:v>
      </x:c>
      <x:c r="Y261" s="12" t="str">
        <x:v>KG</x:v>
      </x:c>
      <x:c r="Z261" s="12" t="str">
        <x:v>2.6.43</x:v>
      </x:c>
      <x:c r="AA261" s="12" t="str">
        <x:v>Frete por kg/tonelada + GRIS/Pedágio opcionais conforme XML.</x:v>
      </x:c>
    </x:row>
    <x:row r="262">
      <x:c r="A262" s="12" t="str">
        <x:v>REG_RODOTEC_0262</x:v>
      </x:c>
      <x:c r="B262" s="12" t="str">
        <x:v>W_S_TRANSPORTES</x:v>
      </x:c>
      <x:c r="C262" s="12" t="str">
        <x:v>RODOTEC AC INTERIOR A</x:v>
      </x:c>
      <x:c r="D262" s="12" t="str">
        <x:v>Senador Guiomard</x:v>
      </x:c>
      <x:c r="E262" s="12" t="str">
        <x:v>AC</x:v>
      </x:c>
      <x:c r="F262" s="12" t="str">
        <x:v>35%</x:v>
      </x:c>
      <x:c r="G262" s="12" t="n">
        <x:v>100</x:v>
      </x:c>
      <x:c r="H262" s="12"/>
      <x:c r="I262" s="12" t="str">
        <x:v>rodotec.pdf</x:v>
      </x:c>
      <x:c r="J262" s="12" t="str">
        <x:v>2</x:v>
      </x:c>
      <x:c r="K262" s="12" t="str">
        <x:v>REVISAR_OK</x:v>
      </x:c>
      <x:c r="L262" t="n">
        <x:v>1240</x:v>
      </x:c>
      <x:c r="M262" t="str">
        <x:v>ROTA RODOVIARIO</x:v>
      </x:c>
      <x:c r="N262" t="str">
        <x:v>27/02/2026</x:v>
      </x:c>
      <x:c r="O262"/>
      <x:c r="P262" t="str">
        <x:v>SEM_ICMS</x:v>
      </x:c>
      <x:c r="Q262" t="str">
        <x:v>SIM</x:v>
      </x:c>
      <x:c r="R262" t="str">
        <x:v>0,02%</x:v>
      </x:c>
      <x:c r="S262" t="str">
        <x:v>SIM</x:v>
      </x:c>
      <x:c r="T262" t="str">
        <x:v>3,50</x:v>
      </x:c>
      <x:c r="U262" t="str">
        <x:v>100</x:v>
      </x:c>
      <x:c r="V262" t="str">
        <x:v>SIM</x:v>
      </x:c>
      <x:c r="W262" t="str">
        <x:v>RODOTEC</x:v>
      </x:c>
      <x:c r="X262" s="12" t="str">
        <x:v>KG_TON</x:v>
      </x:c>
      <x:c r="Y262" s="12" t="str">
        <x:v>KG</x:v>
      </x:c>
      <x:c r="Z262" s="12" t="str">
        <x:v>2.6.43</x:v>
      </x:c>
      <x:c r="AA262" s="12" t="str">
        <x:v>Frete por kg/tonelada + GRIS/Pedágio opcionais conforme XML.</x:v>
      </x:c>
    </x:row>
    <x:row r="263">
      <x:c r="A263" s="12" t="str">
        <x:v>REG_RODOTEC_0263</x:v>
      </x:c>
      <x:c r="B263" s="12" t="str">
        <x:v>W_S_TRANSPORTES</x:v>
      </x:c>
      <x:c r="C263" s="12" t="str">
        <x:v>RODOTEC AC INTERIOR A</x:v>
      </x:c>
      <x:c r="D263" s="12" t="str">
        <x:v>Bujari</x:v>
      </x:c>
      <x:c r="E263" s="12" t="str">
        <x:v>AC</x:v>
      </x:c>
      <x:c r="F263" s="12" t="str">
        <x:v>30%</x:v>
      </x:c>
      <x:c r="G263" s="12" t="n">
        <x:v>100</x:v>
      </x:c>
      <x:c r="H263" s="12"/>
      <x:c r="I263" s="12" t="str">
        <x:v>rodotec.pdf</x:v>
      </x:c>
      <x:c r="J263" s="12" t="str">
        <x:v>2</x:v>
      </x:c>
      <x:c r="K263" s="12" t="str">
        <x:v>REVISAR_OK</x:v>
      </x:c>
      <x:c r="L263" t="n">
        <x:v>1240</x:v>
      </x:c>
      <x:c r="M263" t="str">
        <x:v>ROTA RODOVIARIO</x:v>
      </x:c>
      <x:c r="N263" t="str">
        <x:v>27/02/2026</x:v>
      </x:c>
      <x:c r="O263"/>
      <x:c r="P263" t="str">
        <x:v>SEM_ICMS</x:v>
      </x:c>
      <x:c r="Q263" t="str">
        <x:v>SIM</x:v>
      </x:c>
      <x:c r="R263" t="str">
        <x:v>0,02%</x:v>
      </x:c>
      <x:c r="S263" t="str">
        <x:v>SIM</x:v>
      </x:c>
      <x:c r="T263" t="str">
        <x:v>3,50</x:v>
      </x:c>
      <x:c r="U263" t="str">
        <x:v>100</x:v>
      </x:c>
      <x:c r="V263" t="str">
        <x:v>SIM</x:v>
      </x:c>
      <x:c r="W263" t="str">
        <x:v>RODOTEC</x:v>
      </x:c>
      <x:c r="X263" s="12" t="str">
        <x:v>KG_TON</x:v>
      </x:c>
      <x:c r="Y263" s="12" t="str">
        <x:v>KG</x:v>
      </x:c>
      <x:c r="Z263" s="12" t="str">
        <x:v>2.6.43</x:v>
      </x:c>
      <x:c r="AA263" s="12" t="str">
        <x:v>Frete por kg/tonelada + GRIS/Pedágio opcionais conforme XML.</x:v>
      </x:c>
    </x:row>
    <x:row r="264">
      <x:c r="A264" s="12" t="str">
        <x:v>REG_RODOTEC_0264</x:v>
      </x:c>
      <x:c r="B264" s="12" t="str">
        <x:v>W_S_TRANSPORTES</x:v>
      </x:c>
      <x:c r="C264" s="12" t="str">
        <x:v>RODOTEC AC INTERIOR A</x:v>
      </x:c>
      <x:c r="D264" s="12" t="str">
        <x:v>Xapuri</x:v>
      </x:c>
      <x:c r="E264" s="12" t="str">
        <x:v>AC</x:v>
      </x:c>
      <x:c r="F264" s="12" t="str">
        <x:v>35%</x:v>
      </x:c>
      <x:c r="G264" s="12" t="n">
        <x:v>100</x:v>
      </x:c>
      <x:c r="H264" s="12"/>
      <x:c r="I264" s="12" t="str">
        <x:v>rodotec.pdf</x:v>
      </x:c>
      <x:c r="J264" s="12" t="str">
        <x:v>2</x:v>
      </x:c>
      <x:c r="K264" s="12" t="str">
        <x:v>REVISAR_OK</x:v>
      </x:c>
      <x:c r="L264" t="n">
        <x:v>1240</x:v>
      </x:c>
      <x:c r="M264" t="str">
        <x:v>ROTA RODOVIARIO</x:v>
      </x:c>
      <x:c r="N264" t="str">
        <x:v>27/02/2026</x:v>
      </x:c>
      <x:c r="O264"/>
      <x:c r="P264" t="str">
        <x:v>SEM_ICMS</x:v>
      </x:c>
      <x:c r="Q264" t="str">
        <x:v>SIM</x:v>
      </x:c>
      <x:c r="R264" t="str">
        <x:v>0,02%</x:v>
      </x:c>
      <x:c r="S264" t="str">
        <x:v>SIM</x:v>
      </x:c>
      <x:c r="T264" t="str">
        <x:v>3,50</x:v>
      </x:c>
      <x:c r="U264" t="str">
        <x:v>100</x:v>
      </x:c>
      <x:c r="V264" t="str">
        <x:v>SIM</x:v>
      </x:c>
      <x:c r="W264" t="str">
        <x:v>RODOTEC</x:v>
      </x:c>
      <x:c r="X264" s="12" t="str">
        <x:v>KG_TON</x:v>
      </x:c>
      <x:c r="Y264" s="12" t="str">
        <x:v>KG</x:v>
      </x:c>
      <x:c r="Z264" s="12" t="str">
        <x:v>2.6.43</x:v>
      </x:c>
      <x:c r="AA264" s="12" t="str">
        <x:v>Frete por kg/tonelada + GRIS/Pedágio opcionais conforme XML.</x:v>
      </x:c>
    </x:row>
    <x:row r="265">
      <x:c r="A265" s="12" t="str">
        <x:v>REG_RODOTEC_0265</x:v>
      </x:c>
      <x:c r="B265" s="12" t="str">
        <x:v>W_S_TRANSPORTES</x:v>
      </x:c>
      <x:c r="C265" s="12" t="str">
        <x:v>RODOTEC AC INTERIOR A</x:v>
      </x:c>
      <x:c r="D265" s="12" t="str">
        <x:v>Porto Acre</x:v>
      </x:c>
      <x:c r="E265" s="12" t="str">
        <x:v>AC</x:v>
      </x:c>
      <x:c r="F265" s="12" t="str">
        <x:v>30%</x:v>
      </x:c>
      <x:c r="G265" s="12" t="n">
        <x:v>100</x:v>
      </x:c>
      <x:c r="H265" s="12"/>
      <x:c r="I265" s="12" t="str">
        <x:v>rodotec.pdf</x:v>
      </x:c>
      <x:c r="J265" s="12" t="str">
        <x:v>2</x:v>
      </x:c>
      <x:c r="K265" s="12" t="str">
        <x:v>REVISAR_OK</x:v>
      </x:c>
      <x:c r="L265" t="n">
        <x:v>910</x:v>
      </x:c>
      <x:c r="M265" t="str">
        <x:v>ROTA RODOVIARIO</x:v>
      </x:c>
      <x:c r="N265" t="str">
        <x:v>27/02/2026</x:v>
      </x:c>
      <x:c r="O265"/>
      <x:c r="P265" t="str">
        <x:v>SEM_ICMS</x:v>
      </x:c>
      <x:c r="Q265" t="str">
        <x:v>SIM</x:v>
      </x:c>
      <x:c r="R265" t="str">
        <x:v>0,02%</x:v>
      </x:c>
      <x:c r="S265" t="str">
        <x:v>SIM</x:v>
      </x:c>
      <x:c r="T265" t="str">
        <x:v>3,50</x:v>
      </x:c>
      <x:c r="U265" t="str">
        <x:v>100</x:v>
      </x:c>
      <x:c r="V265" t="str">
        <x:v>SIM</x:v>
      </x:c>
      <x:c r="W265" t="str">
        <x:v>RODOTEC</x:v>
      </x:c>
      <x:c r="X265" s="12" t="str">
        <x:v>KG_TON</x:v>
      </x:c>
      <x:c r="Y265" s="12" t="str">
        <x:v>KG</x:v>
      </x:c>
      <x:c r="Z265" s="12" t="str">
        <x:v>2.6.43</x:v>
      </x:c>
      <x:c r="AA265" s="12" t="str">
        <x:v>Frete por kg/tonelada + GRIS/Pedágio opcionais conforme XML.</x:v>
      </x:c>
    </x:row>
    <x:row r="266">
      <x:c r="A266" s="12" t="str">
        <x:v>REG_RODOTEC_0266</x:v>
      </x:c>
      <x:c r="B266" s="12" t="str">
        <x:v>W_S_TRANSPORTES</x:v>
      </x:c>
      <x:c r="C266" s="12" t="str">
        <x:v>RODOTEC AC INTERIOR A</x:v>
      </x:c>
      <x:c r="D266" s="12" t="str">
        <x:v>Sena Madureira</x:v>
      </x:c>
      <x:c r="E266" s="12" t="str">
        <x:v>AC</x:v>
      </x:c>
      <x:c r="F266" s="12" t="str">
        <x:v>35%</x:v>
      </x:c>
      <x:c r="G266" s="12" t="n">
        <x:v>100</x:v>
      </x:c>
      <x:c r="H266" s="12"/>
      <x:c r="I266" s="12" t="str">
        <x:v>rodotec.pdf</x:v>
      </x:c>
      <x:c r="J266" s="12" t="str">
        <x:v>2</x:v>
      </x:c>
      <x:c r="K266" s="12" t="str">
        <x:v>REVISAR_OK</x:v>
      </x:c>
      <x:c r="L266" t="n">
        <x:v>1240</x:v>
      </x:c>
      <x:c r="M266" t="str">
        <x:v>ROTA RODOVIARIO</x:v>
      </x:c>
      <x:c r="N266" t="str">
        <x:v>27/02/2026</x:v>
      </x:c>
      <x:c r="O266"/>
      <x:c r="P266" t="str">
        <x:v>SEM_ICMS</x:v>
      </x:c>
      <x:c r="Q266" t="str">
        <x:v>SIM</x:v>
      </x:c>
      <x:c r="R266" t="str">
        <x:v>0,02%</x:v>
      </x:c>
      <x:c r="S266" t="str">
        <x:v>SIM</x:v>
      </x:c>
      <x:c r="T266" t="str">
        <x:v>3,50</x:v>
      </x:c>
      <x:c r="U266" t="str">
        <x:v>100</x:v>
      </x:c>
      <x:c r="V266" t="str">
        <x:v>SIM</x:v>
      </x:c>
      <x:c r="W266" t="str">
        <x:v>RODOTEC</x:v>
      </x:c>
      <x:c r="X266" s="12" t="str">
        <x:v>KG_TON</x:v>
      </x:c>
      <x:c r="Y266" s="12" t="str">
        <x:v>KG</x:v>
      </x:c>
      <x:c r="Z266" s="12" t="str">
        <x:v>2.6.43</x:v>
      </x:c>
      <x:c r="AA266" s="12" t="str">
        <x:v>Frete por kg/tonelada + GRIS/Pedágio opcionais conforme XML.</x:v>
      </x:c>
    </x:row>
    <x:row r="267">
      <x:c r="A267" s="12" t="str">
        <x:v>REG_RODOTEC_0267</x:v>
      </x:c>
      <x:c r="B267" s="12" t="str">
        <x:v>W_S_TRANSPORTES</x:v>
      </x:c>
      <x:c r="C267" s="12" t="str">
        <x:v>RODOTEC AC INTERIOR A</x:v>
      </x:c>
      <x:c r="D267" s="12" t="str">
        <x:v>Brasiléia</x:v>
      </x:c>
      <x:c r="E267" s="12" t="str">
        <x:v>AC</x:v>
      </x:c>
      <x:c r="F267" s="12" t="str">
        <x:v>35%</x:v>
      </x:c>
      <x:c r="G267" s="12" t="n">
        <x:v>100</x:v>
      </x:c>
      <x:c r="H267" s="12"/>
      <x:c r="I267" s="12" t="str">
        <x:v>rodotec.pdf</x:v>
      </x:c>
      <x:c r="J267" s="12" t="str">
        <x:v>2</x:v>
      </x:c>
      <x:c r="K267" s="12" t="str">
        <x:v>REVISAR_OK</x:v>
      </x:c>
      <x:c r="L267" t="n">
        <x:v>910</x:v>
      </x:c>
      <x:c r="M267" t="str">
        <x:v>ROTA RODOVIARIO</x:v>
      </x:c>
      <x:c r="N267" t="str">
        <x:v>27/02/2026</x:v>
      </x:c>
      <x:c r="O267"/>
      <x:c r="P267" t="str">
        <x:v>SEM_ICMS</x:v>
      </x:c>
      <x:c r="Q267" t="str">
        <x:v>SIM</x:v>
      </x:c>
      <x:c r="R267" t="str">
        <x:v>0,02%</x:v>
      </x:c>
      <x:c r="S267" t="str">
        <x:v>SIM</x:v>
      </x:c>
      <x:c r="T267" t="str">
        <x:v>3,50</x:v>
      </x:c>
      <x:c r="U267" t="str">
        <x:v>100</x:v>
      </x:c>
      <x:c r="V267" t="str">
        <x:v>SIM</x:v>
      </x:c>
      <x:c r="W267" t="str">
        <x:v>RODOTEC</x:v>
      </x:c>
      <x:c r="X267" s="12" t="str">
        <x:v>KG_TON</x:v>
      </x:c>
      <x:c r="Y267" s="12" t="str">
        <x:v>KG</x:v>
      </x:c>
      <x:c r="Z267" s="12" t="str">
        <x:v>2.6.43</x:v>
      </x:c>
      <x:c r="AA267" s="12" t="str">
        <x:v>Frete por kg/tonelada + GRIS/Pedágio opcionais conforme XML.</x:v>
      </x:c>
    </x:row>
    <x:row r="268">
      <x:c r="A268" s="12" t="str">
        <x:v>REG_RODOTEC_0268</x:v>
      </x:c>
      <x:c r="B268" s="12" t="str">
        <x:v>W_S_TRANSPORTES</x:v>
      </x:c>
      <x:c r="C268" s="12" t="str">
        <x:v>RODOTEC AC INTERIOR A</x:v>
      </x:c>
      <x:c r="D268" s="12" t="str">
        <x:v>Acrelândia</x:v>
      </x:c>
      <x:c r="E268" s="12" t="str">
        <x:v>AC</x:v>
      </x:c>
      <x:c r="F268" s="12" t="str">
        <x:v>30%</x:v>
      </x:c>
      <x:c r="G268" s="12" t="n">
        <x:v>100</x:v>
      </x:c>
      <x:c r="H268" s="12"/>
      <x:c r="I268" s="12" t="str">
        <x:v>rodotec.pdf</x:v>
      </x:c>
      <x:c r="J268" s="12" t="str">
        <x:v>2</x:v>
      </x:c>
      <x:c r="K268" s="12" t="str">
        <x:v>REVISAR_OK</x:v>
      </x:c>
      <x:c r="L268" t="n">
        <x:v>910</x:v>
      </x:c>
      <x:c r="M268" t="str">
        <x:v>ROTA RODOVIARIO</x:v>
      </x:c>
      <x:c r="N268" t="str">
        <x:v>27/02/2026</x:v>
      </x:c>
      <x:c r="O268"/>
      <x:c r="P268" t="str">
        <x:v>SEM_ICMS</x:v>
      </x:c>
      <x:c r="Q268" t="str">
        <x:v>SIM</x:v>
      </x:c>
      <x:c r="R268" t="str">
        <x:v>0,02%</x:v>
      </x:c>
      <x:c r="S268" t="str">
        <x:v>SIM</x:v>
      </x:c>
      <x:c r="T268" t="str">
        <x:v>3,50</x:v>
      </x:c>
      <x:c r="U268" t="str">
        <x:v>100</x:v>
      </x:c>
      <x:c r="V268" t="str">
        <x:v>SIM</x:v>
      </x:c>
      <x:c r="W268" t="str">
        <x:v>RODOTEC</x:v>
      </x:c>
      <x:c r="X268" s="12" t="str">
        <x:v>KG_TON</x:v>
      </x:c>
      <x:c r="Y268" s="12" t="str">
        <x:v>KG</x:v>
      </x:c>
      <x:c r="Z268" s="12" t="str">
        <x:v>2.6.43</x:v>
      </x:c>
      <x:c r="AA268" s="12" t="str">
        <x:v>Frete por kg/tonelada + GRIS/Pedágio opcionais conforme XML.</x:v>
      </x:c>
    </x:row>
    <x:row r="269">
      <x:c r="A269" s="12" t="str">
        <x:v>REG_RODOTEC_0269</x:v>
      </x:c>
      <x:c r="B269" s="12" t="str">
        <x:v>W_S_TRANSPORTES</x:v>
      </x:c>
      <x:c r="C269" s="12" t="str">
        <x:v>RODOTEC AC INTERIOR B</x:v>
      </x:c>
      <x:c r="D269" s="12" t="str">
        <x:v>Assis Brasil</x:v>
      </x:c>
      <x:c r="E269" s="12" t="str">
        <x:v>AC</x:v>
      </x:c>
      <x:c r="F269" s="12" t="str">
        <x:v>30%</x:v>
      </x:c>
      <x:c r="G269" s="12" t="n">
        <x:v>100</x:v>
      </x:c>
      <x:c r="H269" s="12"/>
      <x:c r="I269" s="12" t="str">
        <x:v>rodotec.pdf</x:v>
      </x:c>
      <x:c r="J269" s="12" t="str">
        <x:v>2</x:v>
      </x:c>
      <x:c r="K269" s="12" t="str">
        <x:v>REVISAR_OK</x:v>
      </x:c>
      <x:c r="L269" t="n">
        <x:v>910</x:v>
      </x:c>
      <x:c r="M269" t="str">
        <x:v>ROTA RODOVIARIO</x:v>
      </x:c>
      <x:c r="N269" t="str">
        <x:v>27/02/2026</x:v>
      </x:c>
      <x:c r="O269"/>
      <x:c r="P269" t="str">
        <x:v>SEM_ICMS</x:v>
      </x:c>
      <x:c r="Q269" t="str">
        <x:v>SIM</x:v>
      </x:c>
      <x:c r="R269" t="str">
        <x:v>0,02%</x:v>
      </x:c>
      <x:c r="S269" t="str">
        <x:v>SIM</x:v>
      </x:c>
      <x:c r="T269" t="str">
        <x:v>3,50</x:v>
      </x:c>
      <x:c r="U269" t="str">
        <x:v>100</x:v>
      </x:c>
      <x:c r="V269" t="str">
        <x:v>SIM</x:v>
      </x:c>
      <x:c r="W269" t="str">
        <x:v>RODOTEC</x:v>
      </x:c>
      <x:c r="X269" s="12" t="str">
        <x:v>KG_TON</x:v>
      </x:c>
      <x:c r="Y269" s="12" t="str">
        <x:v>KG</x:v>
      </x:c>
      <x:c r="Z269" s="12" t="str">
        <x:v>2.6.43</x:v>
      </x:c>
      <x:c r="AA269" s="12" t="str">
        <x:v>Frete por kg/tonelada + GRIS/Pedágio opcionais conforme XML.</x:v>
      </x:c>
    </x:row>
    <x:row r="270">
      <x:c r="A270" s="12" t="str">
        <x:v>REG_RODOTEC_0270</x:v>
      </x:c>
      <x:c r="B270" s="12" t="str">
        <x:v>W_S_TRANSPORTES</x:v>
      </x:c>
      <x:c r="C270" s="12" t="str">
        <x:v>RODOTEC AC INTERIOR B</x:v>
      </x:c>
      <x:c r="D270" s="12" t="str">
        <x:v>Manoel Urbano</x:v>
      </x:c>
      <x:c r="E270" s="12" t="str">
        <x:v>AC</x:v>
      </x:c>
      <x:c r="F270" s="12" t="str">
        <x:v>35%</x:v>
      </x:c>
      <x:c r="G270" s="12" t="n">
        <x:v>100</x:v>
      </x:c>
      <x:c r="H270" s="12"/>
      <x:c r="I270" s="12" t="str">
        <x:v>rodotec.pdf</x:v>
      </x:c>
      <x:c r="J270" s="12" t="str">
        <x:v>2</x:v>
      </x:c>
      <x:c r="K270" s="12" t="str">
        <x:v>REVISAR_OK</x:v>
      </x:c>
      <x:c r="L270" t="n">
        <x:v>1240</x:v>
      </x:c>
      <x:c r="M270" t="str">
        <x:v>ROTA RODOVIARIO</x:v>
      </x:c>
      <x:c r="N270" t="str">
        <x:v>27/02/2026</x:v>
      </x:c>
      <x:c r="O270"/>
      <x:c r="P270" t="str">
        <x:v>SEM_ICMS</x:v>
      </x:c>
      <x:c r="Q270" t="str">
        <x:v>SIM</x:v>
      </x:c>
      <x:c r="R270" t="str">
        <x:v>0,02%</x:v>
      </x:c>
      <x:c r="S270" t="str">
        <x:v>SIM</x:v>
      </x:c>
      <x:c r="T270" t="str">
        <x:v>3,50</x:v>
      </x:c>
      <x:c r="U270" t="str">
        <x:v>100</x:v>
      </x:c>
      <x:c r="V270" t="str">
        <x:v>SIM</x:v>
      </x:c>
      <x:c r="W270" t="str">
        <x:v>RODOTEC</x:v>
      </x:c>
      <x:c r="X270" s="12" t="str">
        <x:v>KG_TON</x:v>
      </x:c>
      <x:c r="Y270" s="12" t="str">
        <x:v>KG</x:v>
      </x:c>
      <x:c r="Z270" s="12" t="str">
        <x:v>2.6.43</x:v>
      </x:c>
      <x:c r="AA270" s="12" t="str">
        <x:v>Frete por kg/tonelada + GRIS/Pedágio opcionais conforme XML.</x:v>
      </x:c>
    </x:row>
    <x:row r="271">
      <x:c r="A271" s="12" t="str">
        <x:v>REG_RODOTEC_0271</x:v>
      </x:c>
      <x:c r="B271" s="12" t="str">
        <x:v>W_S_TRANSPORTES</x:v>
      </x:c>
      <x:c r="C271" s="12" t="str">
        <x:v>RODOTEC AC INTERIOR B</x:v>
      </x:c>
      <x:c r="D271" s="12" t="str">
        <x:v>Santa Rosa do Purus</x:v>
      </x:c>
      <x:c r="E271" s="12" t="str">
        <x:v>AC</x:v>
      </x:c>
      <x:c r="F271" s="12" t="str">
        <x:v>35%</x:v>
      </x:c>
      <x:c r="G271" s="12" t="n">
        <x:v>100</x:v>
      </x:c>
      <x:c r="H271" s="12"/>
      <x:c r="I271" s="12" t="str">
        <x:v>rodotec.pdf</x:v>
      </x:c>
      <x:c r="J271" s="12" t="str">
        <x:v>2</x:v>
      </x:c>
      <x:c r="K271" s="12" t="str">
        <x:v>REVISAR_OK</x:v>
      </x:c>
      <x:c r="L271" t="n">
        <x:v>1240</x:v>
      </x:c>
      <x:c r="M271" t="str">
        <x:v>ROTA RODO/FLUVIAL</x:v>
      </x:c>
      <x:c r="N271" t="str">
        <x:v>27/02/2026</x:v>
      </x:c>
      <x:c r="O271"/>
      <x:c r="P271" t="str">
        <x:v>SEM_ICMS</x:v>
      </x:c>
      <x:c r="Q271" t="str">
        <x:v>SIM</x:v>
      </x:c>
      <x:c r="R271" t="str">
        <x:v>0,02%</x:v>
      </x:c>
      <x:c r="S271" t="str">
        <x:v>SIM</x:v>
      </x:c>
      <x:c r="T271" t="str">
        <x:v>3,50</x:v>
      </x:c>
      <x:c r="U271" t="str">
        <x:v>100</x:v>
      </x:c>
      <x:c r="V271" t="str">
        <x:v>SIM</x:v>
      </x:c>
      <x:c r="W271" t="str">
        <x:v>RODOTEC</x:v>
      </x:c>
      <x:c r="X271" s="12" t="str">
        <x:v>KG_TON</x:v>
      </x:c>
      <x:c r="Y271" s="12" t="str">
        <x:v>KG</x:v>
      </x:c>
      <x:c r="Z271" s="12" t="str">
        <x:v>2.6.43</x:v>
      </x:c>
      <x:c r="AA271" s="12" t="str">
        <x:v>Frete por kg/tonelada + GRIS/Pedágio opcionais conforme XML.</x:v>
      </x:c>
    </x:row>
    <x:row r="272">
      <x:c r="A272" s="12" t="str">
        <x:v>REG_RODOTEC_0272</x:v>
      </x:c>
      <x:c r="B272" s="12" t="str">
        <x:v>W_S_TRANSPORTES</x:v>
      </x:c>
      <x:c r="C272" s="12" t="str">
        <x:v>RODOTEC AC INTERIOR B</x:v>
      </x:c>
      <x:c r="D272" s="12" t="str">
        <x:v>Jordão</x:v>
      </x:c>
      <x:c r="E272" s="12" t="str">
        <x:v>AC</x:v>
      </x:c>
      <x:c r="F272" s="12" t="str">
        <x:v>35%</x:v>
      </x:c>
      <x:c r="G272" s="12" t="n">
        <x:v>100</x:v>
      </x:c>
      <x:c r="H272" s="12"/>
      <x:c r="I272" s="12" t="str">
        <x:v>rodotec.pdf</x:v>
      </x:c>
      <x:c r="J272" s="12" t="str">
        <x:v>2</x:v>
      </x:c>
      <x:c r="K272" s="12" t="str">
        <x:v>REVISAR_OK</x:v>
      </x:c>
      <x:c r="L272" t="n">
        <x:v>1240</x:v>
      </x:c>
      <x:c r="M272" t="str">
        <x:v>ROTA RODO/FLUVIAL</x:v>
      </x:c>
      <x:c r="N272" t="str">
        <x:v>27/02/2026</x:v>
      </x:c>
      <x:c r="O272"/>
      <x:c r="P272" t="str">
        <x:v>SEM_ICMS</x:v>
      </x:c>
      <x:c r="Q272" t="str">
        <x:v>SIM</x:v>
      </x:c>
      <x:c r="R272" t="str">
        <x:v>0,02%</x:v>
      </x:c>
      <x:c r="S272" t="str">
        <x:v>SIM</x:v>
      </x:c>
      <x:c r="T272" t="str">
        <x:v>3,50</x:v>
      </x:c>
      <x:c r="U272" t="str">
        <x:v>100</x:v>
      </x:c>
      <x:c r="V272" t="str">
        <x:v>SIM</x:v>
      </x:c>
      <x:c r="W272" t="str">
        <x:v>RODOTEC</x:v>
      </x:c>
      <x:c r="X272" s="12" t="str">
        <x:v>KG_TON</x:v>
      </x:c>
      <x:c r="Y272" s="12" t="str">
        <x:v>KG</x:v>
      </x:c>
      <x:c r="Z272" s="12" t="str">
        <x:v>2.6.43</x:v>
      </x:c>
      <x:c r="AA272" s="12" t="str">
        <x:v>Frete por kg/tonelada + GRIS/Pedágio opcionais conforme XML.</x:v>
      </x:c>
    </x:row>
    <x:row r="273">
      <x:c r="A273" s="12" t="str">
        <x:v>REG_RODOTEC_0273</x:v>
      </x:c>
      <x:c r="B273" s="12" t="str">
        <x:v>W_S_TRANSPORTES</x:v>
      </x:c>
      <x:c r="C273" s="12" t="str">
        <x:v>RODOTEC AC INTERIOR B</x:v>
      </x:c>
      <x:c r="D273" s="12" t="str">
        <x:v>Tarauacá</x:v>
      </x:c>
      <x:c r="E273" s="12" t="str">
        <x:v>AC</x:v>
      </x:c>
      <x:c r="F273" s="12" t="str">
        <x:v>35%</x:v>
      </x:c>
      <x:c r="G273" s="12" t="n">
        <x:v>100</x:v>
      </x:c>
      <x:c r="H273" s="12"/>
      <x:c r="I273" s="12" t="str">
        <x:v>rodotec.pdf</x:v>
      </x:c>
      <x:c r="J273" s="12" t="str">
        <x:v>2</x:v>
      </x:c>
      <x:c r="K273" s="12" t="str">
        <x:v>REVISAR_OK</x:v>
      </x:c>
      <x:c r="L273" t="n">
        <x:v>1240</x:v>
      </x:c>
      <x:c r="M273" t="str">
        <x:v>ROTA RODOVIARIO</x:v>
      </x:c>
      <x:c r="N273" t="str">
        <x:v>27/02/2026</x:v>
      </x:c>
      <x:c r="O273"/>
      <x:c r="P273" t="str">
        <x:v>SEM_ICMS</x:v>
      </x:c>
      <x:c r="Q273" t="str">
        <x:v>SIM</x:v>
      </x:c>
      <x:c r="R273" t="str">
        <x:v>0,02%</x:v>
      </x:c>
      <x:c r="S273" t="str">
        <x:v>SIM</x:v>
      </x:c>
      <x:c r="T273" t="str">
        <x:v>3,50</x:v>
      </x:c>
      <x:c r="U273" t="str">
        <x:v>100</x:v>
      </x:c>
      <x:c r="V273" t="str">
        <x:v>SIM</x:v>
      </x:c>
      <x:c r="W273" t="str">
        <x:v>RODOTEC</x:v>
      </x:c>
      <x:c r="X273" s="12" t="str">
        <x:v>KG_TON</x:v>
      </x:c>
      <x:c r="Y273" s="12" t="str">
        <x:v>KG</x:v>
      </x:c>
      <x:c r="Z273" s="12" t="str">
        <x:v>2.6.43</x:v>
      </x:c>
      <x:c r="AA273" s="12" t="str">
        <x:v>Frete por kg/tonelada + GRIS/Pedágio opcionais conforme XML.</x:v>
      </x:c>
    </x:row>
    <x:row r="274">
      <x:c r="A274" s="12" t="str">
        <x:v>REG_RODOTEC_0274</x:v>
      </x:c>
      <x:c r="B274" s="12" t="str">
        <x:v>W_S_TRANSPORTES</x:v>
      </x:c>
      <x:c r="C274" s="12" t="str">
        <x:v>RODOTEC AC INTERIOR B</x:v>
      </x:c>
      <x:c r="D274" s="12" t="str">
        <x:v>Feijó</x:v>
      </x:c>
      <x:c r="E274" s="12" t="str">
        <x:v>AC</x:v>
      </x:c>
      <x:c r="F274" s="12" t="str">
        <x:v>35%</x:v>
      </x:c>
      <x:c r="G274" s="12" t="n">
        <x:v>100</x:v>
      </x:c>
      <x:c r="H274" s="12"/>
      <x:c r="I274" s="12" t="str">
        <x:v>rodotec.pdf</x:v>
      </x:c>
      <x:c r="J274" s="12" t="str">
        <x:v>2</x:v>
      </x:c>
      <x:c r="K274" s="12" t="str">
        <x:v>REVISAR_OK</x:v>
      </x:c>
      <x:c r="L274" t="n">
        <x:v>1240</x:v>
      </x:c>
      <x:c r="M274" t="str">
        <x:v>ROTA RODOVIARIO</x:v>
      </x:c>
      <x:c r="N274" t="str">
        <x:v>27/02/2026</x:v>
      </x:c>
      <x:c r="O274"/>
      <x:c r="P274" t="str">
        <x:v>SEM_ICMS</x:v>
      </x:c>
      <x:c r="Q274" t="str">
        <x:v>SIM</x:v>
      </x:c>
      <x:c r="R274" t="str">
        <x:v>0,02%</x:v>
      </x:c>
      <x:c r="S274" t="str">
        <x:v>SIM</x:v>
      </x:c>
      <x:c r="T274" t="str">
        <x:v>3,50</x:v>
      </x:c>
      <x:c r="U274" t="str">
        <x:v>100</x:v>
      </x:c>
      <x:c r="V274" t="str">
        <x:v>SIM</x:v>
      </x:c>
      <x:c r="W274" t="str">
        <x:v>RODOTEC</x:v>
      </x:c>
      <x:c r="X274" s="12" t="str">
        <x:v>KG_TON</x:v>
      </x:c>
      <x:c r="Y274" s="12" t="str">
        <x:v>KG</x:v>
      </x:c>
      <x:c r="Z274" s="12" t="str">
        <x:v>2.6.43</x:v>
      </x:c>
      <x:c r="AA274" s="12" t="str">
        <x:v>Frete por kg/tonelada + GRIS/Pedágio opcionais conforme XML.</x:v>
      </x:c>
    </x:row>
    <x:row r="275">
      <x:c r="A275" s="12" t="str">
        <x:v>REG_RODOTEC_0275</x:v>
      </x:c>
      <x:c r="B275" s="12" t="str">
        <x:v>W_S_TRANSPORTES</x:v>
      </x:c>
      <x:c r="C275" s="12" t="str">
        <x:v>RODOTEC AC INTERIOR C</x:v>
      </x:c>
      <x:c r="D275" s="12" t="str">
        <x:v>Porto Walter</x:v>
      </x:c>
      <x:c r="E275" s="12" t="str">
        <x:v>AC</x:v>
      </x:c>
      <x:c r="F275" s="12" t="str">
        <x:v>35%</x:v>
      </x:c>
      <x:c r="G275" s="12" t="n">
        <x:v>100</x:v>
      </x:c>
      <x:c r="H275" s="12"/>
      <x:c r="I275" s="12" t="str">
        <x:v>rodotec.pdf</x:v>
      </x:c>
      <x:c r="J275" s="12" t="str">
        <x:v>2</x:v>
      </x:c>
      <x:c r="K275" s="12" t="str">
        <x:v>REVISAR_OK</x:v>
      </x:c>
      <x:c r="L275" t="n">
        <x:v>1240</x:v>
      </x:c>
      <x:c r="M275" t="str">
        <x:v>ROTA RODO/FLUVIAL</x:v>
      </x:c>
      <x:c r="N275" t="str">
        <x:v>27/02/2026</x:v>
      </x:c>
      <x:c r="O275"/>
      <x:c r="P275" t="str">
        <x:v>SEM_ICMS</x:v>
      </x:c>
      <x:c r="Q275" t="str">
        <x:v>SIM</x:v>
      </x:c>
      <x:c r="R275" t="str">
        <x:v>0,02%</x:v>
      </x:c>
      <x:c r="S275" t="str">
        <x:v>SIM</x:v>
      </x:c>
      <x:c r="T275" t="str">
        <x:v>3,50</x:v>
      </x:c>
      <x:c r="U275" t="str">
        <x:v>100</x:v>
      </x:c>
      <x:c r="V275" t="str">
        <x:v>SIM</x:v>
      </x:c>
      <x:c r="W275" t="str">
        <x:v>RODOTEC</x:v>
      </x:c>
      <x:c r="X275" s="12" t="str">
        <x:v>KG_TON</x:v>
      </x:c>
      <x:c r="Y275" s="12" t="str">
        <x:v>KG</x:v>
      </x:c>
      <x:c r="Z275" s="12" t="str">
        <x:v>2.6.43</x:v>
      </x:c>
      <x:c r="AA275" s="12" t="str">
        <x:v>Frete por kg/tonelada + GRIS/Pedágio opcionais conforme XML.</x:v>
      </x:c>
    </x:row>
    <x:row r="276">
      <x:c r="A276" s="12" t="str">
        <x:v>REG_RODOTEC_0276</x:v>
      </x:c>
      <x:c r="B276" s="12" t="str">
        <x:v>W_S_TRANSPORTES</x:v>
      </x:c>
      <x:c r="C276" s="12" t="str">
        <x:v>RODOTEC AC INTERIOR C</x:v>
      </x:c>
      <x:c r="D276" s="12" t="str">
        <x:v>Marechal Thaumaturgo</x:v>
      </x:c>
      <x:c r="E276" s="12" t="str">
        <x:v>AC</x:v>
      </x:c>
      <x:c r="F276" s="12" t="str">
        <x:v>35%</x:v>
      </x:c>
      <x:c r="G276" s="12" t="n">
        <x:v>100</x:v>
      </x:c>
      <x:c r="H276" s="12"/>
      <x:c r="I276" s="12" t="str">
        <x:v>rodotec.pdf</x:v>
      </x:c>
      <x:c r="J276" s="12" t="str">
        <x:v>2</x:v>
      </x:c>
      <x:c r="K276" s="12" t="str">
        <x:v>REVISAR_OK</x:v>
      </x:c>
      <x:c r="L276" t="n">
        <x:v>1240</x:v>
      </x:c>
      <x:c r="M276" t="str">
        <x:v>ROTA RODO/FLUVIAL</x:v>
      </x:c>
      <x:c r="N276" t="str">
        <x:v>27/02/2026</x:v>
      </x:c>
      <x:c r="O276"/>
      <x:c r="P276" t="str">
        <x:v>SEM_ICMS</x:v>
      </x:c>
      <x:c r="Q276" t="str">
        <x:v>SIM</x:v>
      </x:c>
      <x:c r="R276" t="str">
        <x:v>0,02%</x:v>
      </x:c>
      <x:c r="S276" t="str">
        <x:v>SIM</x:v>
      </x:c>
      <x:c r="T276" t="str">
        <x:v>3,50</x:v>
      </x:c>
      <x:c r="U276" t="str">
        <x:v>100</x:v>
      </x:c>
      <x:c r="V276" t="str">
        <x:v>SIM</x:v>
      </x:c>
      <x:c r="W276" t="str">
        <x:v>RODOTEC</x:v>
      </x:c>
      <x:c r="X276" s="12" t="str">
        <x:v>KG_TON</x:v>
      </x:c>
      <x:c r="Y276" s="12" t="str">
        <x:v>KG</x:v>
      </x:c>
      <x:c r="Z276" s="12" t="str">
        <x:v>2.6.43</x:v>
      </x:c>
      <x:c r="AA276" s="12" t="str">
        <x:v>Frete por kg/tonelada + GRIS/Pedágio opcionais conforme XML.</x:v>
      </x:c>
    </x:row>
    <x:row r="277">
      <x:c r="A277" s="12" t="str">
        <x:v>REG_RODOTEC_0277</x:v>
      </x:c>
      <x:c r="B277" s="12" t="str">
        <x:v>W_S_TRANSPORTES</x:v>
      </x:c>
      <x:c r="C277" s="12" t="str">
        <x:v>RODOTEC AC INTERIOR C</x:v>
      </x:c>
      <x:c r="D277" s="12" t="str">
        <x:v>Mâncio Lima</x:v>
      </x:c>
      <x:c r="E277" s="12" t="str">
        <x:v>AC</x:v>
      </x:c>
      <x:c r="F277" s="12" t="str">
        <x:v>35%</x:v>
      </x:c>
      <x:c r="G277" s="12" t="n">
        <x:v>100</x:v>
      </x:c>
      <x:c r="H277" s="12"/>
      <x:c r="I277" s="12" t="str">
        <x:v>rodotec.pdf</x:v>
      </x:c>
      <x:c r="J277" s="12" t="str">
        <x:v>2</x:v>
      </x:c>
      <x:c r="K277" s="12" t="str">
        <x:v>REVISAR_OK</x:v>
      </x:c>
      <x:c r="L277" t="n">
        <x:v>1240</x:v>
      </x:c>
      <x:c r="M277" t="str">
        <x:v>ROTA RODOVIARIO</x:v>
      </x:c>
      <x:c r="N277" t="str">
        <x:v>27/02/2026</x:v>
      </x:c>
      <x:c r="O277"/>
      <x:c r="P277" t="str">
        <x:v>SEM_ICMS</x:v>
      </x:c>
      <x:c r="Q277" t="str">
        <x:v>SIM</x:v>
      </x:c>
      <x:c r="R277" t="str">
        <x:v>0,02%</x:v>
      </x:c>
      <x:c r="S277" t="str">
        <x:v>SIM</x:v>
      </x:c>
      <x:c r="T277" t="str">
        <x:v>3,50</x:v>
      </x:c>
      <x:c r="U277" t="str">
        <x:v>100</x:v>
      </x:c>
      <x:c r="V277" t="str">
        <x:v>SIM</x:v>
      </x:c>
      <x:c r="W277" t="str">
        <x:v>RODOTEC</x:v>
      </x:c>
      <x:c r="X277" s="12" t="str">
        <x:v>KG_TON</x:v>
      </x:c>
      <x:c r="Y277" s="12" t="str">
        <x:v>KG</x:v>
      </x:c>
      <x:c r="Z277" s="12" t="str">
        <x:v>2.6.43</x:v>
      </x:c>
      <x:c r="AA277" s="12" t="str">
        <x:v>Frete por kg/tonelada + GRIS/Pedágio opcionais conforme XML.</x:v>
      </x:c>
    </x:row>
    <x:row r="278">
      <x:c r="A278" s="12" t="str">
        <x:v>REG_RODOTEC_0278</x:v>
      </x:c>
      <x:c r="B278" s="12" t="str">
        <x:v>W_S_TRANSPORTES</x:v>
      </x:c>
      <x:c r="C278" s="12" t="str">
        <x:v>RODOTEC AC INTERIOR C</x:v>
      </x:c>
      <x:c r="D278" s="12" t="str">
        <x:v>Rodrigues Alves</x:v>
      </x:c>
      <x:c r="E278" s="12" t="str">
        <x:v>AC</x:v>
      </x:c>
      <x:c r="F278" s="12" t="str">
        <x:v>35%</x:v>
      </x:c>
      <x:c r="G278" s="12" t="n">
        <x:v>100</x:v>
      </x:c>
      <x:c r="H278" s="12"/>
      <x:c r="I278" s="12" t="str">
        <x:v>rodotec.pdf</x:v>
      </x:c>
      <x:c r="J278" s="12" t="str">
        <x:v>2</x:v>
      </x:c>
      <x:c r="K278" s="12" t="str">
        <x:v>REVISAR_OK</x:v>
      </x:c>
      <x:c r="L278" t="n">
        <x:v>1240</x:v>
      </x:c>
      <x:c r="M278" t="str">
        <x:v>ROTA RODOVIARIO</x:v>
      </x:c>
      <x:c r="N278" t="str">
        <x:v>27/02/2026</x:v>
      </x:c>
      <x:c r="O278"/>
      <x:c r="P278" t="str">
        <x:v>SEM_ICMS</x:v>
      </x:c>
      <x:c r="Q278" t="str">
        <x:v>SIM</x:v>
      </x:c>
      <x:c r="R278" t="str">
        <x:v>0,02%</x:v>
      </x:c>
      <x:c r="S278" t="str">
        <x:v>SIM</x:v>
      </x:c>
      <x:c r="T278" t="str">
        <x:v>3,50</x:v>
      </x:c>
      <x:c r="U278" t="str">
        <x:v>100</x:v>
      </x:c>
      <x:c r="V278" t="str">
        <x:v>SIM</x:v>
      </x:c>
      <x:c r="W278" t="str">
        <x:v>RODOTEC</x:v>
      </x:c>
      <x:c r="X278" s="12" t="str">
        <x:v>KG_TON</x:v>
      </x:c>
      <x:c r="Y278" s="12" t="str">
        <x:v>KG</x:v>
      </x:c>
      <x:c r="Z278" s="12" t="str">
        <x:v>2.6.43</x:v>
      </x:c>
      <x:c r="AA278" s="12" t="str">
        <x:v>Frete por kg/tonelada + GRIS/Pedágio opcionais conforme XML.</x:v>
      </x:c>
    </x:row>
    <x:row r="279">
      <x:c r="A279" s="12" t="str">
        <x:v>REG_RODOTEC_0279</x:v>
      </x:c>
      <x:c r="B279" s="12" t="str">
        <x:v>W_S_TRANSPORTES</x:v>
      </x:c>
      <x:c r="C279" s="12" t="str">
        <x:v>RODOTEC AC INTERIOR C</x:v>
      </x:c>
      <x:c r="D279" s="12" t="str">
        <x:v>Cruzeiro do Sul</x:v>
      </x:c>
      <x:c r="E279" s="12" t="str">
        <x:v>AC</x:v>
      </x:c>
      <x:c r="F279" s="12" t="str">
        <x:v>35%</x:v>
      </x:c>
      <x:c r="G279" s="12" t="n">
        <x:v>100</x:v>
      </x:c>
      <x:c r="H279" s="12"/>
      <x:c r="I279" s="12" t="str">
        <x:v>rodotec.pdf</x:v>
      </x:c>
      <x:c r="J279" s="12" t="str">
        <x:v>2</x:v>
      </x:c>
      <x:c r="K279" s="12" t="str">
        <x:v>REVISAR_OK</x:v>
      </x:c>
      <x:c r="L279" t="n">
        <x:v>1240</x:v>
      </x:c>
      <x:c r="M279" t="str">
        <x:v>ROTA RODOVIARIO</x:v>
      </x:c>
      <x:c r="N279" t="str">
        <x:v>27/02/2026</x:v>
      </x:c>
      <x:c r="O279"/>
      <x:c r="P279" t="str">
        <x:v>SEM_ICMS</x:v>
      </x:c>
      <x:c r="Q279" t="str">
        <x:v>SIM</x:v>
      </x:c>
      <x:c r="R279" t="str">
        <x:v>0,02%</x:v>
      </x:c>
      <x:c r="S279" t="str">
        <x:v>SIM</x:v>
      </x:c>
      <x:c r="T279" t="str">
        <x:v>3,50</x:v>
      </x:c>
      <x:c r="U279" t="str">
        <x:v>100</x:v>
      </x:c>
      <x:c r="V279" t="str">
        <x:v>SIM</x:v>
      </x:c>
      <x:c r="W279" t="str">
        <x:v>RODOTEC</x:v>
      </x:c>
      <x:c r="X279" s="12" t="str">
        <x:v>KG_TON</x:v>
      </x:c>
      <x:c r="Y279" s="12" t="str">
        <x:v>KG</x:v>
      </x:c>
      <x:c r="Z279" s="12" t="str">
        <x:v>2.6.43</x:v>
      </x:c>
      <x:c r="AA279" s="12" t="str">
        <x:v>Frete por kg/tonelada + GRIS/Pedágio opcionais conforme XML.</x:v>
      </x:c>
    </x:row>
    <x:row r="280">
      <x:c r="A280" s="77" t="str">
        <x:v>REG_ALIAS_WS_0001</x:v>
      </x:c>
      <x:c r="B280" s="77" t="str">
        <x:v>W_S_TRANSPORTES</x:v>
      </x:c>
      <x:c r="C280" s="77" t="str">
        <x:v>RODOTEC RO INTERIOR</x:v>
      </x:c>
      <x:c r="D280" s="77" t="str">
        <x:v>Alta Floresta D Oeste</x:v>
      </x:c>
      <x:c r="E280" s="77" t="str">
        <x:v>RO</x:v>
      </x:c>
      <x:c r="F280" s="77" t="str">
        <x:v>30%</x:v>
      </x:c>
      <x:c r="G280" s="77" t="n">
        <x:v>100</x:v>
      </x:c>
      <x:c r="H280" s="77"/>
      <x:c r="I280" s="77" t="str">
        <x:v>rodotec.pdf</x:v>
      </x:c>
      <x:c r="J280" s="77" t="n">
        <x:v>1</x:v>
      </x:c>
      <x:c r="K280" s="77" t="str">
        <x:v>ALIAS_OK</x:v>
      </x:c>
      <x:c r="L280" s="77" t="n">
        <x:v>720</x:v>
      </x:c>
      <x:c r="M280" s="77" t="str">
        <x:v>ROTA RODOVIARIO</x:v>
      </x:c>
      <x:c r="N280" s="77" t="str">
        <x:v>27/02/2026</x:v>
      </x:c>
      <x:c r="O280" s="77" t="str">
        <x:v>Alias sem apóstrofo para casar com a grafia da base Rodovitor/CT-e.</x:v>
      </x:c>
      <x:c r="P280" s="77" t="str">
        <x:v>SEM_ICMS</x:v>
      </x:c>
      <x:c r="Q280" t="str">
        <x:v>SIM</x:v>
      </x:c>
      <x:c r="R280" t="str">
        <x:v>0,02%</x:v>
      </x:c>
      <x:c r="S280" t="str">
        <x:v>SIM</x:v>
      </x:c>
      <x:c r="T280" t="str">
        <x:v>3,50</x:v>
      </x:c>
      <x:c r="U280" t="str">
        <x:v>100</x:v>
      </x:c>
      <x:c r="V280" t="str">
        <x:v>SIM</x:v>
      </x:c>
      <x:c r="W280" t="str">
        <x:v>RODOTEC</x:v>
      </x:c>
      <x:c r="X280" s="12" t="str">
        <x:v>KG_TON</x:v>
      </x:c>
      <x:c r="Y280" s="12" t="str">
        <x:v>KG</x:v>
      </x:c>
      <x:c r="Z280" s="12" t="str">
        <x:v>2.6.43</x:v>
      </x:c>
      <x:c r="AA280" s="12" t="str">
        <x:v>Frete por kg/tonelada + GRIS/Pedágio opcionais conforme XML.</x:v>
      </x:c>
    </x:row>
    <x:row r="281">
      <x:c r="A281" s="77" t="str">
        <x:v>REG_ALIAS_WS_0002</x:v>
      </x:c>
      <x:c r="B281" s="77" t="str">
        <x:v>W_S_TRANSPORTES</x:v>
      </x:c>
      <x:c r="C281" s="77" t="str">
        <x:v>RODOTEC RO INTERIOR</x:v>
      </x:c>
      <x:c r="D281" s="77" t="str">
        <x:v>Alvorada D Oeste</x:v>
      </x:c>
      <x:c r="E281" s="77" t="str">
        <x:v>RO</x:v>
      </x:c>
      <x:c r="F281" s="77" t="str">
        <x:v>30%</x:v>
      </x:c>
      <x:c r="G281" s="77" t="n">
        <x:v>100</x:v>
      </x:c>
      <x:c r="H281" s="77"/>
      <x:c r="I281" s="77" t="str">
        <x:v>rodotec.pdf</x:v>
      </x:c>
      <x:c r="J281" s="77" t="n">
        <x:v>1</x:v>
      </x:c>
      <x:c r="K281" s="77" t="str">
        <x:v>ALIAS_OK</x:v>
      </x:c>
      <x:c r="L281" s="77" t="n">
        <x:v>720</x:v>
      </x:c>
      <x:c r="M281" s="77" t="str">
        <x:v>ROTA RODOVIARIO</x:v>
      </x:c>
      <x:c r="N281" s="77" t="str">
        <x:v>27/02/2026</x:v>
      </x:c>
      <x:c r="O281" s="77" t="str">
        <x:v>Alias sem apóstrofo para casar com a grafia da base Rodovitor/CT-e.</x:v>
      </x:c>
      <x:c r="P281" s="77" t="str">
        <x:v>SEM_ICMS</x:v>
      </x:c>
      <x:c r="Q281" t="str">
        <x:v>SIM</x:v>
      </x:c>
      <x:c r="R281" t="str">
        <x:v>0,02%</x:v>
      </x:c>
      <x:c r="S281" t="str">
        <x:v>SIM</x:v>
      </x:c>
      <x:c r="T281" t="str">
        <x:v>3,50</x:v>
      </x:c>
      <x:c r="U281" t="str">
        <x:v>100</x:v>
      </x:c>
      <x:c r="V281" t="str">
        <x:v>SIM</x:v>
      </x:c>
      <x:c r="W281" t="str">
        <x:v>RODOTEC</x:v>
      </x:c>
      <x:c r="X281" s="12" t="str">
        <x:v>KG_TON</x:v>
      </x:c>
      <x:c r="Y281" s="12" t="str">
        <x:v>KG</x:v>
      </x:c>
      <x:c r="Z281" s="12" t="str">
        <x:v>2.6.43</x:v>
      </x:c>
      <x:c r="AA281" s="12" t="str">
        <x:v>Frete por kg/tonelada + GRIS/Pedágio opcionais conforme XML.</x:v>
      </x:c>
    </x:row>
    <x:row r="282">
      <x:c r="A282" s="77" t="str">
        <x:v>REG_ALIAS_WS_0003</x:v>
      </x:c>
      <x:c r="B282" s="77" t="str">
        <x:v>W_S_TRANSPORTES</x:v>
      </x:c>
      <x:c r="C282" s="77" t="str">
        <x:v>RODOTEC RO INTERIOR</x:v>
      </x:c>
      <x:c r="D282" s="77" t="str">
        <x:v>Espigão D Oeste</x:v>
      </x:c>
      <x:c r="E282" s="77" t="str">
        <x:v>RO</x:v>
      </x:c>
      <x:c r="F282" s="77" t="str">
        <x:v>30%</x:v>
      </x:c>
      <x:c r="G282" s="77" t="n">
        <x:v>100</x:v>
      </x:c>
      <x:c r="H282" s="77"/>
      <x:c r="I282" s="77" t="str">
        <x:v>rodotec.pdf</x:v>
      </x:c>
      <x:c r="J282" s="77" t="n">
        <x:v>1</x:v>
      </x:c>
      <x:c r="K282" s="77" t="str">
        <x:v>ALIAS_OK</x:v>
      </x:c>
      <x:c r="L282" s="77" t="n">
        <x:v>720</x:v>
      </x:c>
      <x:c r="M282" s="77" t="str">
        <x:v>ROTA RODOVIARIO</x:v>
      </x:c>
      <x:c r="N282" s="77" t="str">
        <x:v>27/02/2026</x:v>
      </x:c>
      <x:c r="O282" s="77" t="str">
        <x:v>Alias sem apóstrofo para casar com a grafia da base Rodovitor/CT-e.</x:v>
      </x:c>
      <x:c r="P282" s="77" t="str">
        <x:v>SEM_ICMS</x:v>
      </x:c>
      <x:c r="Q282" t="str">
        <x:v>SIM</x:v>
      </x:c>
      <x:c r="R282" t="str">
        <x:v>0,02%</x:v>
      </x:c>
      <x:c r="S282" t="str">
        <x:v>SIM</x:v>
      </x:c>
      <x:c r="T282" t="str">
        <x:v>3,50</x:v>
      </x:c>
      <x:c r="U282" t="str">
        <x:v>100</x:v>
      </x:c>
      <x:c r="V282" t="str">
        <x:v>SIM</x:v>
      </x:c>
      <x:c r="W282" t="str">
        <x:v>RODOTEC</x:v>
      </x:c>
      <x:c r="X282" s="12" t="str">
        <x:v>KG_TON</x:v>
      </x:c>
      <x:c r="Y282" s="12" t="str">
        <x:v>KG</x:v>
      </x:c>
      <x:c r="Z282" s="12" t="str">
        <x:v>2.6.43</x:v>
      </x:c>
      <x:c r="AA282" s="12" t="str">
        <x:v>Frete por kg/tonelada + GRIS/Pedágio opcionais conforme XML.</x:v>
      </x:c>
    </x:row>
    <x:row r="283">
      <x:c r="A283" s="77" t="str">
        <x:v>REG_ALIAS_WS_0004</x:v>
      </x:c>
      <x:c r="B283" s="77" t="str">
        <x:v>W_S_TRANSPORTES</x:v>
      </x:c>
      <x:c r="C283" s="77" t="str">
        <x:v>RODOTEC RO INTERIOR</x:v>
      </x:c>
      <x:c r="D283" s="77" t="str">
        <x:v>Machadinho D Oeste</x:v>
      </x:c>
      <x:c r="E283" s="77" t="str">
        <x:v>RO</x:v>
      </x:c>
      <x:c r="F283" s="77" t="str">
        <x:v>30%</x:v>
      </x:c>
      <x:c r="G283" s="77" t="n">
        <x:v>100</x:v>
      </x:c>
      <x:c r="H283" s="77"/>
      <x:c r="I283" s="77" t="str">
        <x:v>rodotec.pdf</x:v>
      </x:c>
      <x:c r="J283" s="77" t="n">
        <x:v>1</x:v>
      </x:c>
      <x:c r="K283" s="77" t="str">
        <x:v>ALIAS_OK</x:v>
      </x:c>
      <x:c r="L283" s="77" t="n">
        <x:v>720</x:v>
      </x:c>
      <x:c r="M283" s="77" t="str">
        <x:v>ROTA RODOVIARIO</x:v>
      </x:c>
      <x:c r="N283" s="77" t="str">
        <x:v>27/02/2026</x:v>
      </x:c>
      <x:c r="O283" s="77" t="str">
        <x:v>Alias sem apóstrofo para casar com a grafia da base Rodovitor/CT-e.</x:v>
      </x:c>
      <x:c r="P283" s="77" t="str">
        <x:v>SEM_ICMS</x:v>
      </x:c>
      <x:c r="Q283" t="str">
        <x:v>SIM</x:v>
      </x:c>
      <x:c r="R283" t="str">
        <x:v>0,02%</x:v>
      </x:c>
      <x:c r="S283" t="str">
        <x:v>SIM</x:v>
      </x:c>
      <x:c r="T283" t="str">
        <x:v>3,50</x:v>
      </x:c>
      <x:c r="U283" t="str">
        <x:v>100</x:v>
      </x:c>
      <x:c r="V283" t="str">
        <x:v>SIM</x:v>
      </x:c>
      <x:c r="W283" t="str">
        <x:v>RODOTEC</x:v>
      </x:c>
      <x:c r="X283" s="12" t="str">
        <x:v>KG_TON</x:v>
      </x:c>
      <x:c r="Y283" s="12" t="str">
        <x:v>KG</x:v>
      </x:c>
      <x:c r="Z283" s="12" t="str">
        <x:v>2.6.43</x:v>
      </x:c>
      <x:c r="AA283" s="12" t="str">
        <x:v>Frete por kg/tonelada + GRIS/Pedágio opcionais conforme XML.</x:v>
      </x:c>
    </x:row>
    <x:row r="284">
      <x:c r="A284" s="77" t="str">
        <x:v>REG_ALIAS_WS_0005</x:v>
      </x:c>
      <x:c r="B284" s="77" t="str">
        <x:v>W_S_TRANSPORTES</x:v>
      </x:c>
      <x:c r="C284" s="77" t="str">
        <x:v>RODOTEC RO INTERIOR</x:v>
      </x:c>
      <x:c r="D284" s="77" t="str">
        <x:v>Nova Brasilândia D Oeste</x:v>
      </x:c>
      <x:c r="E284" s="77" t="str">
        <x:v>RO</x:v>
      </x:c>
      <x:c r="F284" s="77" t="str">
        <x:v>30%</x:v>
      </x:c>
      <x:c r="G284" s="77" t="n">
        <x:v>100</x:v>
      </x:c>
      <x:c r="H284" s="77"/>
      <x:c r="I284" s="77" t="str">
        <x:v>rodotec.pdf</x:v>
      </x:c>
      <x:c r="J284" s="77" t="n">
        <x:v>1</x:v>
      </x:c>
      <x:c r="K284" s="77" t="str">
        <x:v>ALIAS_OK</x:v>
      </x:c>
      <x:c r="L284" s="77" t="n">
        <x:v>720</x:v>
      </x:c>
      <x:c r="M284" s="77" t="str">
        <x:v>ROTA RODOVIARIO</x:v>
      </x:c>
      <x:c r="N284" s="77" t="str">
        <x:v>27/02/2026</x:v>
      </x:c>
      <x:c r="O284" s="77" t="str">
        <x:v>Alias sem apóstrofo para casar com a grafia da base Rodovitor/CT-e.</x:v>
      </x:c>
      <x:c r="P284" s="77" t="str">
        <x:v>SEM_ICMS</x:v>
      </x:c>
      <x:c r="Q284" t="str">
        <x:v>SIM</x:v>
      </x:c>
      <x:c r="R284" t="str">
        <x:v>0,02%</x:v>
      </x:c>
      <x:c r="S284" t="str">
        <x:v>SIM</x:v>
      </x:c>
      <x:c r="T284" t="str">
        <x:v>3,50</x:v>
      </x:c>
      <x:c r="U284" t="str">
        <x:v>100</x:v>
      </x:c>
      <x:c r="V284" t="str">
        <x:v>SIM</x:v>
      </x:c>
      <x:c r="W284" t="str">
        <x:v>RODOTEC</x:v>
      </x:c>
      <x:c r="X284" s="12" t="str">
        <x:v>KG_TON</x:v>
      </x:c>
      <x:c r="Y284" s="12" t="str">
        <x:v>KG</x:v>
      </x:c>
      <x:c r="Z284" s="12" t="str">
        <x:v>2.6.43</x:v>
      </x:c>
      <x:c r="AA284" s="12" t="str">
        <x:v>Frete por kg/tonelada + GRIS/Pedágio opcionais conforme XML.</x:v>
      </x:c>
    </x:row>
    <x:row r="285">
      <x:c r="A285" s="77" t="str">
        <x:v>REG_ALIAS_WS_0006</x:v>
      </x:c>
      <x:c r="B285" s="77" t="str">
        <x:v>W_S_TRANSPORTES</x:v>
      </x:c>
      <x:c r="C285" s="77" t="str">
        <x:v>RODOTEC RO INTERIOR</x:v>
      </x:c>
      <x:c r="D285" s="77" t="str">
        <x:v>Santa Luzia D Oeste</x:v>
      </x:c>
      <x:c r="E285" s="77" t="str">
        <x:v>RO</x:v>
      </x:c>
      <x:c r="F285" s="77" t="str">
        <x:v>30%</x:v>
      </x:c>
      <x:c r="G285" s="77" t="n">
        <x:v>100</x:v>
      </x:c>
      <x:c r="H285" s="77"/>
      <x:c r="I285" s="77" t="str">
        <x:v>rodotec.pdf</x:v>
      </x:c>
      <x:c r="J285" s="77" t="n">
        <x:v>1</x:v>
      </x:c>
      <x:c r="K285" s="77" t="str">
        <x:v>ALIAS_OK</x:v>
      </x:c>
      <x:c r="L285" s="77" t="n">
        <x:v>720</x:v>
      </x:c>
      <x:c r="M285" s="77" t="str">
        <x:v>ROTA RODOVIARIO</x:v>
      </x:c>
      <x:c r="N285" s="77" t="str">
        <x:v>27/02/2026</x:v>
      </x:c>
      <x:c r="O285" s="77" t="str">
        <x:v>Alias sem apóstrofo para casar com a grafia da base Rodovitor/CT-e.</x:v>
      </x:c>
      <x:c r="P285" s="77" t="str">
        <x:v>SEM_ICMS</x:v>
      </x:c>
      <x:c r="Q285" t="str">
        <x:v>SIM</x:v>
      </x:c>
      <x:c r="R285" t="str">
        <x:v>0,02%</x:v>
      </x:c>
      <x:c r="S285" t="str">
        <x:v>SIM</x:v>
      </x:c>
      <x:c r="T285" t="str">
        <x:v>3,50</x:v>
      </x:c>
      <x:c r="U285" t="str">
        <x:v>100</x:v>
      </x:c>
      <x:c r="V285" t="str">
        <x:v>SIM</x:v>
      </x:c>
      <x:c r="W285" t="str">
        <x:v>RODOTEC</x:v>
      </x:c>
      <x:c r="X285" s="12" t="str">
        <x:v>KG_TON</x:v>
      </x:c>
      <x:c r="Y285" s="12" t="str">
        <x:v>KG</x:v>
      </x:c>
      <x:c r="Z285" s="12" t="str">
        <x:v>2.6.43</x:v>
      </x:c>
      <x:c r="AA285" s="12" t="str">
        <x:v>Frete por kg/tonelada + GRIS/Pedágio opcionais conforme XML.</x:v>
      </x:c>
    </x:row>
    <x:row r="286">
      <x:c r="A286" s="77" t="str">
        <x:v>REG_ALIAS_WS_0007</x:v>
      </x:c>
      <x:c r="B286" s="77" t="str">
        <x:v>W_S_TRANSPORTES</x:v>
      </x:c>
      <x:c r="C286" s="77" t="str">
        <x:v>RODOTEC RO INTERIOR</x:v>
      </x:c>
      <x:c r="D286" s="77" t="str">
        <x:v>São Felipe D Oeste</x:v>
      </x:c>
      <x:c r="E286" s="77" t="str">
        <x:v>RO</x:v>
      </x:c>
      <x:c r="F286" s="77" t="str">
        <x:v>30%</x:v>
      </x:c>
      <x:c r="G286" s="77" t="n">
        <x:v>100</x:v>
      </x:c>
      <x:c r="H286" s="77"/>
      <x:c r="I286" s="77" t="str">
        <x:v>rodotec.pdf</x:v>
      </x:c>
      <x:c r="J286" s="77" t="n">
        <x:v>1</x:v>
      </x:c>
      <x:c r="K286" s="77" t="str">
        <x:v>ALIAS_OK</x:v>
      </x:c>
      <x:c r="L286" s="77" t="n">
        <x:v>720</x:v>
      </x:c>
      <x:c r="M286" s="77" t="str">
        <x:v>ROTA RODOVIARIO</x:v>
      </x:c>
      <x:c r="N286" s="77" t="str">
        <x:v>27/02/2026</x:v>
      </x:c>
      <x:c r="O286" s="77" t="str">
        <x:v>Alias sem apóstrofo para casar com a grafia da base Rodovitor/CT-e.</x:v>
      </x:c>
      <x:c r="P286" s="77" t="str">
        <x:v>SEM_ICMS</x:v>
      </x:c>
      <x:c r="Q286" t="str">
        <x:v>SIM</x:v>
      </x:c>
      <x:c r="R286" t="str">
        <x:v>0,02%</x:v>
      </x:c>
      <x:c r="S286" t="str">
        <x:v>SIM</x:v>
      </x:c>
      <x:c r="T286" t="str">
        <x:v>3,50</x:v>
      </x:c>
      <x:c r="U286" t="str">
        <x:v>100</x:v>
      </x:c>
      <x:c r="V286" t="str">
        <x:v>SIM</x:v>
      </x:c>
      <x:c r="W286" t="str">
        <x:v>RODOTEC</x:v>
      </x:c>
      <x:c r="X286" s="12" t="str">
        <x:v>KG_TON</x:v>
      </x:c>
      <x:c r="Y286" s="12" t="str">
        <x:v>KG</x:v>
      </x:c>
      <x:c r="Z286" s="12" t="str">
        <x:v>2.6.43</x:v>
      </x:c>
      <x:c r="AA286" s="12" t="str">
        <x:v>Frete por kg/tonelada + GRIS/Pedágio opcionais conforme XML.</x:v>
      </x:c>
    </x:row>
    <x:row r="287">
      <x:c r="A287" s="77" t="str">
        <x:v>REG_ALIAS_JSP_0001</x:v>
      </x:c>
      <x:c r="B287" s="77" t="str">
        <x:v>JSP</x:v>
      </x:c>
      <x:c r="C287" s="77" t="str">
        <x:v>REGIÃO CARAJÁS</x:v>
      </x:c>
      <x:c r="D287" s="77" t="str">
        <x:v>Eldorado do Carajas</x:v>
      </x:c>
      <x:c r="E287" s="77" t="str">
        <x:v>PA</x:v>
      </x:c>
      <x:c r="F287" s="77" t="str">
        <x:v>25%</x:v>
      </x:c>
      <x:c r="G287" s="77" t="n">
        <x:v>50</x:v>
      </x:c>
      <x:c r="H287" s="77" t="str">
        <x:v>D+2</x:v>
      </x:c>
      <x:c r="I287" s="77" t="str">
        <x:v>doc20621320260704143240.pdf</x:v>
      </x:c>
      <x:c r="J287" s="77" t="n">
        <x:v>1</x:v>
      </x:c>
      <x:c r="K287" s="77" t="str">
        <x:v>ALIAS_OK</x:v>
      </x:c>
      <x:c r="L287" s="77"/>
      <x:c r="M287" s="77"/>
      <x:c r="N287" s="77"/>
      <x:c r="O287" s="77" t="str">
        <x:v>Alias de grafia: base/CT-e usa DO CARAJAS; tabela original usa DOS CARAJÁS.</x:v>
      </x:c>
      <x:c r="P287" s="77"/>
      <x:c r="Q287"/>
      <x:c r="R287"/>
      <x:c r="S287" t="str">
        <x:v>NÃO</x:v>
      </x:c>
      <x:c r="T287" t="n">
        <x:v>0</x:v>
      </x:c>
      <x:c r="U287"/>
      <x:c r="V287" t="str">
        <x:v>SIM</x:v>
      </x:c>
      <x:c r="W287" t="str">
        <x:v>JSP</x:v>
      </x:c>
      <x:c r="X287" s="12" t="str">
        <x:v>PERCENTUAL</x:v>
      </x:c>
      <x:c r="Y287" s="12" t="str">
        <x:v>CTE</x:v>
      </x:c>
      <x:c r="Z287" s="12" t="str">
        <x:v>2.6.46</x:v>
      </x:c>
      <x:c r="AA287" s="12" t="str">
        <x:v>Pedágio JSP informado como 0,00 por CT-e na fonte.</x:v>
      </x:c>
    </x:row>
    <x:row r="288">
      <x:c r="A288" s="77" t="str">
        <x:v>REG_ALIAS_LN_0001</x:v>
      </x:c>
      <x:c r="B288" s="77" t="str">
        <x:v>LN</x:v>
      </x:c>
      <x:c r="C288" s="77" t="str">
        <x:v>XIG</x:v>
      </x:c>
      <x:c r="D288" s="77" t="str">
        <x:v>Ourilandia do Norte</x:v>
      </x:c>
      <x:c r="E288" s="77" t="str">
        <x:v>PA</x:v>
      </x:c>
      <x:c r="F288" s="77" t="str">
        <x:v>28%</x:v>
      </x:c>
      <x:c r="G288" s="77" t="n">
        <x:v>70</x:v>
      </x:c>
      <x:c r="H288" s="77" t="str">
        <x:v>D+5/D+6</x:v>
      </x:c>
      <x:c r="I288" s="77" t="str">
        <x:v>doc20620720260704143045.pdf</x:v>
      </x:c>
      <x:c r="J288" s="77" t="n">
        <x:v>1</x:v>
      </x:c>
      <x:c r="K288" s="77" t="str">
        <x:v>ALIAS_OK</x:v>
      </x:c>
      <x:c r="L288" s="77"/>
      <x:c r="M288" s="77"/>
      <x:c r="N288" s="77"/>
      <x:c r="O288" s="77" t="str">
        <x:v>Alias de grafia: CT-e/base usa nome completo OURILANDIA DO NORTE; tabela original usa OURILÂNDIA.</x:v>
      </x:c>
      <x:c r="P288" s="77"/>
      <x:c r="Q288"/>
      <x:c r="R288"/>
      <x:c r="S288"/>
      <x:c r="T288"/>
      <x:c r="U288"/>
      <x:c r="V288" t="str">
        <x:v>SIM</x:v>
      </x:c>
      <x:c r="W288" t="str">
        <x:v>L&amp;N</x:v>
      </x:c>
      <x:c r="X288" s="12" t="str">
        <x:v>PERCENTUAL</x:v>
      </x:c>
      <x:c r="Y288" s="12"/>
      <x:c r="Z288" s="12" t="str">
        <x:v>2.6.44</x:v>
      </x:c>
      <x:c r="AA288" s="12" t="str">
        <x:v>Frete base × percentual; aplicar frete mínimo quando maior. Bloco percentual ativado; controle visual passivo.</x:v>
      </x:c>
    </x:row>
    <x:row r="289">
      <x:c r="A289" s="80" t="str">
        <x:v>REG_MB_SERV_0001</x:v>
      </x:c>
      <x:c r="B289" s="80" t="str">
        <x:v>MB_SERVICOS_LOG</x:v>
      </x:c>
      <x:c r="C289" s="80" t="str">
        <x:v>MB AP CAPITAL / STN-MCP</x:v>
      </x:c>
      <x:c r="D289" s="80" t="str">
        <x:v>MACAPA</x:v>
      </x:c>
      <x:c r="E289" s="80" t="str">
        <x:v>AP</x:v>
      </x:c>
      <x:c r="F289" s="80" t="str">
        <x:v>23%</x:v>
      </x:c>
      <x:c r="G289" s="80" t="n">
        <x:v>70</x:v>
      </x:c>
      <x:c r="H289" s="80"/>
      <x:c r="I289" s="80" t="str">
        <x:v>Tabela MB LOGISTICA.pdf</x:v>
      </x:c>
      <x:c r="J289" s="80" t="str">
        <x:v>1</x:v>
      </x:c>
      <x:c r="K289" s="80" t="str">
        <x:v>REVISAR_OK</x:v>
      </x:c>
      <x:c r="L289" s="80"/>
      <x:c r="M289" s="80"/>
      <x:c r="N289" s="80" t="str">
        <x:v>05/01/2026</x:v>
      </x:c>
      <x:c r="O289" s="80" t="str">
        <x:v>Tabela 01: STN e MCP 23% sobre CT-e cliente; frete mínimo R$70. PDF CNPJ 45.552.648/0001-09, XML parceiro 27.460.061/0003-50: confirmar vínculo.</x:v>
      </x:c>
      <x:c r="P289" s="80" t="str">
        <x:v>ORIGINAL</x:v>
      </x:c>
      <x:c r="Q289"/>
      <x:c r="R289"/>
      <x:c r="S289"/>
      <x:c r="T289"/>
      <x:c r="U289"/>
      <x:c r="V289" t="str">
        <x:v>SIM</x:v>
      </x:c>
      <x:c r="W289" t="str">
        <x:v>M. B. SERVIÇOS</x:v>
      </x:c>
      <x:c r="X289" s="12" t="str">
        <x:v>PERCENTUAL</x:v>
      </x:c>
      <x:c r="Y289" s="12"/>
      <x:c r="Z289" s="12" t="str">
        <x:v>2.6.44</x:v>
      </x:c>
      <x:c r="AA289" s="12" t="str">
        <x:v>Frete base × percentual; aplicar frete mínimo quando maior. Bloco percentual ativado; controle visual passivo.</x:v>
      </x:c>
    </x:row>
    <x:row r="290">
      <x:c r="A290" s="80" t="str">
        <x:v>REG_MB_SERV_0002</x:v>
      </x:c>
      <x:c r="B290" s="80" t="str">
        <x:v>MB_SERVICOS_LOG</x:v>
      </x:c>
      <x:c r="C290" s="80" t="str">
        <x:v>MB AP CAPITAL / STN-MCP</x:v>
      </x:c>
      <x:c r="D290" s="80" t="str">
        <x:v>SANTANA</x:v>
      </x:c>
      <x:c r="E290" s="80" t="str">
        <x:v>AP</x:v>
      </x:c>
      <x:c r="F290" s="80" t="str">
        <x:v>23%</x:v>
      </x:c>
      <x:c r="G290" s="80" t="n">
        <x:v>70</x:v>
      </x:c>
      <x:c r="H290" s="80"/>
      <x:c r="I290" s="80" t="str">
        <x:v>Tabela MB LOGISTICA.pdf</x:v>
      </x:c>
      <x:c r="J290" s="80" t="str">
        <x:v>1</x:v>
      </x:c>
      <x:c r="K290" s="80" t="str">
        <x:v>REVISAR_OK</x:v>
      </x:c>
      <x:c r="L290" s="80"/>
      <x:c r="M290" s="80"/>
      <x:c r="N290" s="80" t="str">
        <x:v>05/01/2026</x:v>
      </x:c>
      <x:c r="O290" s="80" t="str">
        <x:v>Tabela 01: STN e MCP 23% sobre CT-e cliente; frete mínimo R$70. PDF CNPJ 45.552.648/0001-09, XML parceiro 27.460.061/0003-50: confirmar vínculo.</x:v>
      </x:c>
      <x:c r="P290" s="80" t="str">
        <x:v>ORIGINAL</x:v>
      </x:c>
      <x:c r="Q290"/>
      <x:c r="R290"/>
      <x:c r="S290"/>
      <x:c r="T290"/>
      <x:c r="U290"/>
      <x:c r="V290" t="str">
        <x:v>SIM</x:v>
      </x:c>
      <x:c r="W290" t="str">
        <x:v>M. B. SERVIÇOS</x:v>
      </x:c>
      <x:c r="X290" s="12" t="str">
        <x:v>PERCENTUAL</x:v>
      </x:c>
      <x:c r="Y290" s="12"/>
      <x:c r="Z290" s="12" t="str">
        <x:v>2.6.44</x:v>
      </x:c>
      <x:c r="AA290" s="12" t="str">
        <x:v>Frete base × percentual; aplicar frete mínimo quando maior. Bloco percentual ativado; controle visual passivo.</x:v>
      </x:c>
    </x:row>
    <x:row r="291">
      <x:c r="A291" s="80" t="str">
        <x:v>REG_MB_SERV_0003</x:v>
      </x:c>
      <x:c r="B291" s="80" t="str">
        <x:v>MB_SERVICOS_LOG</x:v>
      </x:c>
      <x:c r="C291" s="80" t="str">
        <x:v>MB INTERIORES-AP</x:v>
      </x:c>
      <x:c r="D291" s="80" t="str">
        <x:v>OIAPOQUE</x:v>
      </x:c>
      <x:c r="E291" s="80" t="str">
        <x:v>AP</x:v>
      </x:c>
      <x:c r="F291" s="80" t="str">
        <x:v>27%</x:v>
      </x:c>
      <x:c r="G291" s="80" t="n">
        <x:v>250</x:v>
      </x:c>
      <x:c r="H291" s="80"/>
      <x:c r="I291" s="80" t="str">
        <x:v>Tabela MB LOGISTICA.pdf</x:v>
      </x:c>
      <x:c r="J291" s="80" t="str">
        <x:v>1</x:v>
      </x:c>
      <x:c r="K291" s="80" t="str">
        <x:v>REVISAR_OK</x:v>
      </x:c>
      <x:c r="L291" s="80"/>
      <x:c r="M291" s="80"/>
      <x:c r="N291" s="80" t="str">
        <x:v>05/01/2026</x:v>
      </x:c>
      <x:c r="O291" s="80" t="str">
        <x:v>Tabela 01: Interiores-AP 27% sobre CT-e cliente; frete mínimo R$250.</x:v>
      </x:c>
      <x:c r="P291" s="80" t="str">
        <x:v>ORIGINAL</x:v>
      </x:c>
      <x:c r="Q291"/>
      <x:c r="R291"/>
      <x:c r="S291"/>
      <x:c r="T291"/>
      <x:c r="U291"/>
      <x:c r="V291" t="str">
        <x:v>SIM</x:v>
      </x:c>
      <x:c r="W291" t="str">
        <x:v>M. B. SERVIÇOS</x:v>
      </x:c>
      <x:c r="X291" s="12" t="str">
        <x:v>PERCENTUAL</x:v>
      </x:c>
      <x:c r="Y291" s="12"/>
      <x:c r="Z291" s="12" t="str">
        <x:v>2.6.44</x:v>
      </x:c>
      <x:c r="AA291" s="12" t="str">
        <x:v>Frete base × percentual; aplicar frete mínimo quando maior. Bloco percentual ativado; controle visual passivo.</x:v>
      </x:c>
    </x:row>
    <x:row r="292">
      <x:c r="A292" s="80" t="str">
        <x:v>REG_MB_SERV_0004</x:v>
      </x:c>
      <x:c r="B292" s="80" t="str">
        <x:v>MB_SERVICOS_LOG</x:v>
      </x:c>
      <x:c r="C292" s="80" t="str">
        <x:v>MB INTERIORES-AP</x:v>
      </x:c>
      <x:c r="D292" s="80" t="str">
        <x:v>LARANJAL DO JARI</x:v>
      </x:c>
      <x:c r="E292" s="80" t="str">
        <x:v>AP</x:v>
      </x:c>
      <x:c r="F292" s="80" t="str">
        <x:v>27%</x:v>
      </x:c>
      <x:c r="G292" s="80" t="n">
        <x:v>250</x:v>
      </x:c>
      <x:c r="H292" s="80"/>
      <x:c r="I292" s="80" t="str">
        <x:v>Tabela MB LOGISTICA.pdf</x:v>
      </x:c>
      <x:c r="J292" s="80" t="str">
        <x:v>1</x:v>
      </x:c>
      <x:c r="K292" s="80" t="str">
        <x:v>REVISAR_OK</x:v>
      </x:c>
      <x:c r="L292" s="80"/>
      <x:c r="M292" s="80"/>
      <x:c r="N292" s="80" t="str">
        <x:v>05/01/2026</x:v>
      </x:c>
      <x:c r="O292" s="80" t="str">
        <x:v>Tabela 01: Interiores-AP 27% sobre CT-e cliente; frete mínimo R$250.</x:v>
      </x:c>
      <x:c r="P292" s="80" t="str">
        <x:v>ORIGINAL</x:v>
      </x:c>
      <x:c r="Q292"/>
      <x:c r="R292"/>
      <x:c r="S292"/>
      <x:c r="T292"/>
      <x:c r="U292"/>
      <x:c r="V292" t="str">
        <x:v>SIM</x:v>
      </x:c>
      <x:c r="W292" t="str">
        <x:v>M. B. SERVIÇOS</x:v>
      </x:c>
      <x:c r="X292" s="12" t="str">
        <x:v>PERCENTUAL</x:v>
      </x:c>
      <x:c r="Y292" s="12"/>
      <x:c r="Z292" s="12" t="str">
        <x:v>2.6.44</x:v>
      </x:c>
      <x:c r="AA292" s="12" t="str">
        <x:v>Frete base × percentual; aplicar frete mínimo quando maior. Bloco percentual ativado; controle visual passivo.</x:v>
      </x:c>
    </x:row>
    <x:row r="293">
      <x:c r="A293" s="80" t="str">
        <x:v>REG_MILAYDE_0001</x:v>
      </x:c>
      <x:c r="B293" s="80" t="str">
        <x:v>MILAYDE_LOBATO</x:v>
      </x:c>
      <x:c r="C293" s="80" t="str">
        <x:v>FENIX ORIGEM ANANINDEUA</x:v>
      </x:c>
      <x:c r="D293" s="80" t="str">
        <x:v>SANTAREM</x:v>
      </x:c>
      <x:c r="E293" s="80" t="str">
        <x:v>PA</x:v>
      </x:c>
      <x:c r="F293" s="80" t="str">
        <x:v>33%</x:v>
      </x:c>
      <x:c r="G293" s="80" t="n">
        <x:v>92</x:v>
      </x:c>
      <x:c r="H293" s="80"/>
      <x:c r="I293" s="80" t="str">
        <x:v>TABELA MILAYDE PATRICIA.pdf</x:v>
      </x:c>
      <x:c r="J293" s="80" t="str">
        <x:v>1</x:v>
      </x:c>
      <x:c r="K293" s="80" t="str">
        <x:v>REVISAR_OK</x:v>
      </x:c>
      <x:c r="L293" s="80"/>
      <x:c r="M293" s="80"/>
      <x:c r="N293" s="80" t="str">
        <x:v>13/05/2026</x:v>
      </x:c>
      <x:c r="O293" s="80" t="str">
        <x:v>Tabela Fênix: Santarém 33%, taxa mínima R$92. Obs. PDF cita frete gatilho mínimo R$0,70/Kg Santarém; não automatizado nesta regra.</x:v>
      </x:c>
      <x:c r="P293" s="80" t="str">
        <x:v>ORIGINAL</x:v>
      </x:c>
      <x:c r="Q293"/>
      <x:c r="R293"/>
      <x:c r="S293"/>
      <x:c r="T293"/>
      <x:c r="U293"/>
      <x:c r="V293" t="str">
        <x:v>SIM</x:v>
      </x:c>
      <x:c r="W293" t="str">
        <x:v>MILAYDE</x:v>
      </x:c>
      <x:c r="X293" s="12" t="str">
        <x:v>PERCENTUAL</x:v>
      </x:c>
      <x:c r="Y293" s="12"/>
      <x:c r="Z293" s="12" t="str">
        <x:v>2.6.44</x:v>
      </x:c>
      <x:c r="AA293" s="12" t="str">
        <x:v>Frete base × percentual; aplicar frete mínimo quando maior. Bloco percentual ativado; controle visual passivo.</x:v>
      </x:c>
    </x:row>
    <x:row r="294">
      <x:c r="A294" s="80" t="str">
        <x:v>REG_MILAYDE_0002</x:v>
      </x:c>
      <x:c r="B294" s="80" t="str">
        <x:v>MILAYDE_LOBATO</x:v>
      </x:c>
      <x:c r="C294" s="80" t="str">
        <x:v>FENIX ORIGEM ANANINDEUA</x:v>
      </x:c>
      <x:c r="D294" s="80" t="str">
        <x:v>PRAINHA</x:v>
      </x:c>
      <x:c r="E294" s="80" t="str">
        <x:v>PA</x:v>
      </x:c>
      <x:c r="F294" s="80" t="str">
        <x:v>35%</x:v>
      </x:c>
      <x:c r="G294" s="80" t="n">
        <x:v>92</x:v>
      </x:c>
      <x:c r="H294" s="80"/>
      <x:c r="I294" s="80" t="str">
        <x:v>TABELA MILAYDE PATRICIA.pdf</x:v>
      </x:c>
      <x:c r="J294" s="80" t="str">
        <x:v>1</x:v>
      </x:c>
      <x:c r="K294" s="80" t="str">
        <x:v>REVISAR_OK</x:v>
      </x:c>
      <x:c r="L294" s="80"/>
      <x:c r="M294" s="80"/>
      <x:c r="N294" s="80" t="str">
        <x:v>13/05/2026</x:v>
      </x:c>
      <x:c r="O294" s="80" t="str">
        <x:v>Tabela Fênix: Prainha 35%, taxa mínima R$92. Confirmar vínculo CNPJ PDF 39.424.302/0001-22 x XML 47.736.151/0001-76.</x:v>
      </x:c>
      <x:c r="P294" s="80" t="str">
        <x:v>ORIGINAL</x:v>
      </x:c>
      <x:c r="Q294"/>
      <x:c r="R294"/>
      <x:c r="S294"/>
      <x:c r="T294"/>
      <x:c r="U294"/>
      <x:c r="V294" t="str">
        <x:v>SIM</x:v>
      </x:c>
      <x:c r="W294" t="str">
        <x:v>MILAYDE</x:v>
      </x:c>
      <x:c r="X294" s="12" t="str">
        <x:v>PERCENTUAL</x:v>
      </x:c>
      <x:c r="Y294" s="12"/>
      <x:c r="Z294" s="12" t="str">
        <x:v>2.6.44</x:v>
      </x:c>
      <x:c r="AA294" s="12" t="str">
        <x:v>Frete base × percentual; aplicar frete mínimo quando maior. Bloco percentual ativado; controle visual passivo.</x:v>
      </x:c>
    </x:row>
    <x:row r="295">
      <x:c r="A295" s="80" t="str">
        <x:v>REG_MILAYDE_0003</x:v>
      </x:c>
      <x:c r="B295" s="80" t="str">
        <x:v>MILAYDE_LOBATO</x:v>
      </x:c>
      <x:c r="C295" s="80" t="str">
        <x:v>FENIX ORIGEM ANANINDEUA</x:v>
      </x:c>
      <x:c r="D295" s="80" t="str">
        <x:v>ITAITUBA</x:v>
      </x:c>
      <x:c r="E295" s="80" t="str">
        <x:v>PA</x:v>
      </x:c>
      <x:c r="F295" s="80" t="str">
        <x:v>40%</x:v>
      </x:c>
      <x:c r="G295" s="80" t="n">
        <x:v>138</x:v>
      </x:c>
      <x:c r="H295" s="80"/>
      <x:c r="I295" s="80" t="str">
        <x:v>TABELA MILAYDE PATRICIA.pdf</x:v>
      </x:c>
      <x:c r="J295" s="80" t="str">
        <x:v>1</x:v>
      </x:c>
      <x:c r="K295" s="80" t="str">
        <x:v>REVISAR_OK</x:v>
      </x:c>
      <x:c r="L295" s="80"/>
      <x:c r="M295" s="80"/>
      <x:c r="N295" s="80" t="str">
        <x:v>13/05/2026</x:v>
      </x:c>
      <x:c r="O295" s="80" t="str">
        <x:v>Tabela Fênix: Itaituba 40%, taxa mínima R$138. Confirmar vínculo CNPJ PDF 39.424.302/0001-22 x XML 47.736.151/0001-76.</x:v>
      </x:c>
      <x:c r="P295" s="80" t="str">
        <x:v>ORIGINAL</x:v>
      </x:c>
      <x:c r="Q295"/>
      <x:c r="R295"/>
      <x:c r="S295"/>
      <x:c r="T295"/>
      <x:c r="U295"/>
      <x:c r="V295" t="str">
        <x:v>SIM</x:v>
      </x:c>
      <x:c r="W295" t="str">
        <x:v>MILAYDE</x:v>
      </x:c>
      <x:c r="X295" s="12" t="str">
        <x:v>PERCENTUAL</x:v>
      </x:c>
      <x:c r="Y295" s="12"/>
      <x:c r="Z295" s="12" t="str">
        <x:v>2.6.44</x:v>
      </x:c>
      <x:c r="AA295" s="12" t="str">
        <x:v>Frete base × percentual; aplicar frete mínimo quando maior. Bloco percentual ativado; controle visual passivo.</x:v>
      </x:c>
    </x:row>
    <x:row r="296">
      <x:c r="A296" s="80" t="str">
        <x:v>REG_EUNUQUES_0001</x:v>
      </x:c>
      <x:c r="B296" s="80" t="str">
        <x:v>EUNUQUES_LOPES</x:v>
      </x:c>
      <x:c r="C296" s="80" t="str">
        <x:v>E&amp;M / PARAGOMINAS</x:v>
      </x:c>
      <x:c r="D296" s="80" t="str">
        <x:v>MAE DO RIO</x:v>
      </x:c>
      <x:c r="E296" s="80" t="str">
        <x:v>PA</x:v>
      </x:c>
      <x:c r="F296" s="80" t="str">
        <x:v>20%</x:v>
      </x:c>
      <x:c r="G296" s="80" t="n">
        <x:v>70</x:v>
      </x:c>
      <x:c r="H296" s="80" t="str">
        <x:v>D+2</x:v>
      </x:c>
      <x:c r="I296" s="80" t="str">
        <x:v>TABELA EUNUQUES LOPES.pdf</x:v>
      </x:c>
      <x:c r="J296" s="80" t="str">
        <x:v>1</x:v>
      </x:c>
      <x:c r="K296" s="80" t="str">
        <x:v>REVISAR_OK</x:v>
      </x:c>
      <x:c r="L296" s="80"/>
      <x:c r="M296" s="80"/>
      <x:c r="N296" s="80"/>
      <x:c r="O296" s="80" t="str">
        <x:v>Tabela E&amp;M: Mãe do Rio 20%, taxa mínima R$70. PDF não traz CNPJ do parceiro Eunuques; confirmar vínculo.</x:v>
      </x:c>
      <x:c r="P296" s="80" t="str">
        <x:v>ORIGINAL</x:v>
      </x:c>
      <x:c r="Q296"/>
      <x:c r="R296"/>
      <x:c r="S296"/>
      <x:c r="T296"/>
      <x:c r="U296"/>
      <x:c r="V296" t="str">
        <x:v>SIM</x:v>
      </x:c>
      <x:c r="W296" t="str">
        <x:v>EM LOPES</x:v>
      </x:c>
      <x:c r="X296" s="12" t="str">
        <x:v>PERCENTUAL</x:v>
      </x:c>
      <x:c r="Y296" s="12"/>
      <x:c r="Z296" s="12" t="str">
        <x:v>2.6.44</x:v>
      </x:c>
      <x:c r="AA296" s="12" t="str">
        <x:v>Frete base × percentual; aplicar frete mínimo quando maior. Bloco percentual ativado; controle visual passivo.</x:v>
      </x:c>
    </x:row>
    <x:row r="297">
      <x:c r="A297" s="80" t="str">
        <x:v>REG_EUNUQUES_0002</x:v>
      </x:c>
      <x:c r="B297" s="80" t="str">
        <x:v>EUNUQUES_LOPES</x:v>
      </x:c>
      <x:c r="C297" s="80" t="str">
        <x:v>E&amp;M / PARAGOMINAS</x:v>
      </x:c>
      <x:c r="D297" s="80" t="str">
        <x:v>IPIXUNA DO PARA</x:v>
      </x:c>
      <x:c r="E297" s="80" t="str">
        <x:v>PA</x:v>
      </x:c>
      <x:c r="F297" s="80" t="str">
        <x:v>20%</x:v>
      </x:c>
      <x:c r="G297" s="80" t="n">
        <x:v>60</x:v>
      </x:c>
      <x:c r="H297" s="80" t="str">
        <x:v>D+2</x:v>
      </x:c>
      <x:c r="I297" s="80" t="str">
        <x:v>TABELA EUNUQUES LOPES.pdf</x:v>
      </x:c>
      <x:c r="J297" s="80" t="str">
        <x:v>1</x:v>
      </x:c>
      <x:c r="K297" s="80" t="str">
        <x:v>REVISAR_OK</x:v>
      </x:c>
      <x:c r="L297" s="80"/>
      <x:c r="M297" s="80"/>
      <x:c r="N297" s="80"/>
      <x:c r="O297" s="80" t="str">
        <x:v>Tabela E&amp;M: Ipixuna 20%, taxa mínima R$60. Cidade cadastrada como IPIXUNA DO PARA para casar com CT-e/base.</x:v>
      </x:c>
      <x:c r="P297" s="80" t="str">
        <x:v>ORIGINAL</x:v>
      </x:c>
      <x:c r="Q297"/>
      <x:c r="R297"/>
      <x:c r="S297"/>
      <x:c r="T297"/>
      <x:c r="U297"/>
      <x:c r="V297" t="str">
        <x:v>SIM</x:v>
      </x:c>
      <x:c r="W297" t="str">
        <x:v>EM LOPES</x:v>
      </x:c>
      <x:c r="X297" s="12" t="str">
        <x:v>PERCENTUAL</x:v>
      </x:c>
      <x:c r="Y297" s="12"/>
      <x:c r="Z297" s="12" t="str">
        <x:v>2.6.44</x:v>
      </x:c>
      <x:c r="AA297" s="12" t="str">
        <x:v>Frete base × percentual; aplicar frete mínimo quando maior. Bloco percentual ativado; controle visual passivo.</x:v>
      </x:c>
    </x:row>
    <x:row r="298">
      <x:c r="A298" s="80" t="str">
        <x:v>REG_MF_LOBATO_0001</x:v>
      </x:c>
      <x:c r="B298" s="80" t="str">
        <x:v>MF_LOBATO</x:v>
      </x:c>
      <x:c r="C298" s="80" t="str">
        <x:v>MARAJO CARGAS LOCALIDADES</x:v>
      </x:c>
      <x:c r="D298" s="80" t="str">
        <x:v>LIMOEIRO DO AJURU</x:v>
      </x:c>
      <x:c r="E298" s="80" t="str">
        <x:v>PA</x:v>
      </x:c>
      <x:c r="F298" s="80" t="str">
        <x:v>40%</x:v>
      </x:c>
      <x:c r="G298" s="80" t="n">
        <x:v>40</x:v>
      </x:c>
      <x:c r="H298" s="80" t="str">
        <x:v>1 A 2 DIAS</x:v>
      </x:c>
      <x:c r="I298" s="80" t="str">
        <x:v>TABELA MARAJO CARGAS (MF LOBATO).pdf</x:v>
      </x:c>
      <x:c r="J298" s="80" t="str">
        <x:v>2</x:v>
      </x:c>
      <x:c r="K298" s="80" t="str">
        <x:v>REVISAR_OK</x:v>
      </x:c>
      <x:c r="L298" s="80"/>
      <x:c r="M298" s="80"/>
      <x:c r="N298" s="80" t="str">
        <x:v>01/11/2024</x:v>
      </x:c>
      <x:c r="O298" s="80" t="str">
        <x:v>Tabela Marajó Cargas/M.F. Lobato: Limoeiro do Ajuru 40%, taxa mínima R$40.</x:v>
      </x:c>
      <x:c r="P298" s="80" t="str">
        <x:v>ORIGINAL</x:v>
      </x:c>
      <x:c r="Q298"/>
      <x:c r="R298"/>
      <x:c r="S298"/>
      <x:c r="T298"/>
      <x:c r="U298"/>
      <x:c r="V298" t="str">
        <x:v>SIM</x:v>
      </x:c>
      <x:c r="W298" t="str">
        <x:v>M. F. LOBATO</x:v>
      </x:c>
      <x:c r="X298" s="12" t="str">
        <x:v>PERCENTUAL</x:v>
      </x:c>
      <x:c r="Y298" s="12"/>
      <x:c r="Z298" s="12" t="str">
        <x:v>2.6.44</x:v>
      </x:c>
      <x:c r="AA298" s="12" t="str">
        <x:v>Frete base × percentual; aplicar frete mínimo quando maior. Bloco percentual ativado; controle visual passivo.</x:v>
      </x:c>
    </x:row>
    <x:row r="299">
      <x:c r="A299" t="str">
        <x:v>REG_MRV_0001</x:v>
      </x:c>
      <x:c r="B299" t="str">
        <x:v>MRV_TRANSPORTES</x:v>
      </x:c>
      <x:c r="C299" t="str">
        <x:v>MRV TO - PALMAS</x:v>
      </x:c>
      <x:c r="D299" t="str">
        <x:v>PALMAS</x:v>
      </x:c>
      <x:c r="E299" t="str">
        <x:v>TO</x:v>
      </x:c>
      <x:c r="F299" t="str">
        <x:v>25%</x:v>
      </x:c>
      <x:c r="G299" t="n">
        <x:v>40</x:v>
      </x:c>
      <x:c r="H299"/>
      <x:c r="I299" t="str">
        <x:v>Tabela MRV Logistica.pdf</x:v>
      </x:c>
      <x:c r="J299" t="str">
        <x:v>1 (pág. 4/5)</x:v>
      </x:c>
      <x:c r="K299" t="str">
        <x:v>REVISAR_OK</x:v>
      </x:c>
      <x:c r="L299"/>
      <x:c r="M299"/>
      <x:c r="N299" t="str">
        <x:v>31/12/2024</x:v>
      </x:c>
      <x:c r="O299" t="str">
        <x:v>Tabela MRV/Exclusiva: Palmas 25% sobre frete de origem; mínimo R$40 anotado. Condicional acima de 10t confirmada pelo usuário: Palmas 20% sobre frete de origem.</x:v>
      </x:c>
      <x:c r="P299" t="str">
        <x:v>ORIGEM</x:v>
      </x:c>
      <x:c r="Q299"/>
      <x:c r="R299"/>
      <x:c r="S299"/>
      <x:c r="T299"/>
      <x:c r="U299"/>
      <x:c r="V299" t="str">
        <x:v>SIM</x:v>
      </x:c>
      <x:c r="W299" t="str">
        <x:v>MRV</x:v>
      </x:c>
      <x:c r="X299" s="12" t="str">
        <x:v>PERCENTUAL</x:v>
      </x:c>
      <x:c r="Y299" s="12"/>
      <x:c r="Z299" s="12" t="str">
        <x:v>2.6.44</x:v>
      </x:c>
      <x:c r="AA299" s="12" t="str">
        <x:v>Frete base × percentual; aplicar frete mínimo quando maior. Bloco percentual ativado; controle visual passivo.</x:v>
      </x:c>
    </x:row>
    <x:row r="300">
      <x:c r="A300" t="str">
        <x:v>REG_EUNUQUES_SRC_0001</x:v>
      </x:c>
      <x:c r="B300" t="str">
        <x:v>EUNUQUES_LOPES</x:v>
      </x:c>
      <x:c r="C300" t="str">
        <x:v>PARAGOMINAS</x:v>
      </x:c>
      <x:c r="D300" t="str">
        <x:v>Tailândia</x:v>
      </x:c>
      <x:c r="E300" t="str">
        <x:v>PA</x:v>
      </x:c>
      <x:c r="F300" t="str">
        <x:v>35%</x:v>
      </x:c>
      <x:c r="G300" t="n">
        <x:v>70</x:v>
      </x:c>
      <x:c r="H300" t="str">
        <x:v>D+3</x:v>
      </x:c>
      <x:c r="I300" t="str">
        <x:v>TABELA EUNUQUES LOPES.pdf</x:v>
      </x:c>
      <x:c r="J300" t="str">
        <x:v>1</x:v>
      </x:c>
      <x:c r="K300" t="str">
        <x:v>REVISAR_OK</x:v>
      </x:c>
      <x:c r="L300"/>
      <x:c r="M300"/>
      <x:c r="N300"/>
      <x:c r="O300" t="str">
        <x:v>Fonte E&amp;M Transportes; regra espelhada para Eunuques/EM Lopes conforme CNPJ do parceiro.</x:v>
      </x:c>
      <x:c r="P300" t="str">
        <x:v>ORIGINAL</x:v>
      </x:c>
      <x:c r="Q300"/>
      <x:c r="R300"/>
      <x:c r="S300"/>
      <x:c r="T300"/>
      <x:c r="U300"/>
      <x:c r="V300" t="str">
        <x:v>SIM</x:v>
      </x:c>
      <x:c r="W300" t="str">
        <x:v>EM LOPES</x:v>
      </x:c>
      <x:c r="X300" t="str">
        <x:v>PERCENTUAL</x:v>
      </x:c>
      <x:c r="Y300"/>
      <x:c r="Z300" t="str">
        <x:v>2.6.46</x:v>
      </x:c>
      <x:c r="AA300" t="str">
        <x:v>Frete base × percentual; aplicar frete mínimo quando maior. Bloco percentual ativado; controle visual passivo.</x:v>
      </x:c>
    </x:row>
    <x:row r="301">
      <x:c r="A301" t="str">
        <x:v>REG_EUNUQUES_SRC_0002</x:v>
      </x:c>
      <x:c r="B301" t="str">
        <x:v>EUNUQUES_LOPES</x:v>
      </x:c>
      <x:c r="C301" t="str">
        <x:v>PARAGOMINAS</x:v>
      </x:c>
      <x:c r="D301" t="str">
        <x:v>Irituia</x:v>
      </x:c>
      <x:c r="E301" t="str">
        <x:v>PA</x:v>
      </x:c>
      <x:c r="F301" t="str">
        <x:v>20%</x:v>
      </x:c>
      <x:c r="G301" t="n">
        <x:v>70</x:v>
      </x:c>
      <x:c r="H301" t="str">
        <x:v>D+2</x:v>
      </x:c>
      <x:c r="I301" t="str">
        <x:v>TABELA EUNUQUES LOPES.pdf</x:v>
      </x:c>
      <x:c r="J301" t="str">
        <x:v>1</x:v>
      </x:c>
      <x:c r="K301" t="str">
        <x:v>REVISAR_OK</x:v>
      </x:c>
      <x:c r="L301"/>
      <x:c r="M301"/>
      <x:c r="N301"/>
      <x:c r="O301" t="str">
        <x:v>Fonte E&amp;M Transportes; regra espelhada para Eunuques/EM Lopes conforme CNPJ do parceiro.</x:v>
      </x:c>
      <x:c r="P301" t="str">
        <x:v>ORIGINAL</x:v>
      </x:c>
      <x:c r="Q301"/>
      <x:c r="R301"/>
      <x:c r="S301"/>
      <x:c r="T301"/>
      <x:c r="U301"/>
      <x:c r="V301" t="str">
        <x:v>SIM</x:v>
      </x:c>
      <x:c r="W301" t="str">
        <x:v>EM LOPES</x:v>
      </x:c>
      <x:c r="X301" t="str">
        <x:v>PERCENTUAL</x:v>
      </x:c>
      <x:c r="Y301"/>
      <x:c r="Z301" t="str">
        <x:v>2.6.46</x:v>
      </x:c>
      <x:c r="AA301" t="str">
        <x:v>Frete base × percentual; aplicar frete mínimo quando maior. Bloco percentual ativado; controle visual passivo.</x:v>
      </x:c>
    </x:row>
    <x:row r="302">
      <x:c r="A302" t="str">
        <x:v>REG_EUNUQUES_SRC_0003</x:v>
      </x:c>
      <x:c r="B302" t="str">
        <x:v>EUNUQUES_LOPES</x:v>
      </x:c>
      <x:c r="C302" t="str">
        <x:v>PARAGOMINAS</x:v>
      </x:c>
      <x:c r="D302" t="str">
        <x:v>Tomé Açu</x:v>
      </x:c>
      <x:c r="E302" t="str">
        <x:v>PA</x:v>
      </x:c>
      <x:c r="F302" t="str">
        <x:v>20%</x:v>
      </x:c>
      <x:c r="G302" t="n">
        <x:v>70</x:v>
      </x:c>
      <x:c r="H302" t="str">
        <x:v>D+3</x:v>
      </x:c>
      <x:c r="I302" t="str">
        <x:v>TABELA EUNUQUES LOPES.pdf</x:v>
      </x:c>
      <x:c r="J302" t="str">
        <x:v>1</x:v>
      </x:c>
      <x:c r="K302" t="str">
        <x:v>REVISAR_OK</x:v>
      </x:c>
      <x:c r="L302"/>
      <x:c r="M302"/>
      <x:c r="N302"/>
      <x:c r="O302" t="str">
        <x:v>Fonte E&amp;M Transportes; regra espelhada para Eunuques/EM Lopes conforme CNPJ do parceiro.</x:v>
      </x:c>
      <x:c r="P302" t="str">
        <x:v>ORIGINAL</x:v>
      </x:c>
      <x:c r="Q302"/>
      <x:c r="R302"/>
      <x:c r="S302"/>
      <x:c r="T302"/>
      <x:c r="U302"/>
      <x:c r="V302" t="str">
        <x:v>SIM</x:v>
      </x:c>
      <x:c r="W302" t="str">
        <x:v>EM LOPES</x:v>
      </x:c>
      <x:c r="X302" t="str">
        <x:v>PERCENTUAL</x:v>
      </x:c>
      <x:c r="Y302"/>
      <x:c r="Z302" t="str">
        <x:v>2.6.46</x:v>
      </x:c>
      <x:c r="AA302" t="str">
        <x:v>Frete base × percentual; aplicar frete mínimo quando maior. Bloco percentual ativado; controle visual passivo.</x:v>
      </x:c>
    </x:row>
    <x:row r="303">
      <x:c r="A303" t="str">
        <x:v>REG_EUNUQUES_SRC_0004</x:v>
      </x:c>
      <x:c r="B303" t="str">
        <x:v>EUNUQUES_LOPES</x:v>
      </x:c>
      <x:c r="C303" t="str">
        <x:v>PARAGOMINAS</x:v>
      </x:c>
      <x:c r="D303" t="str">
        <x:v>4 Bocas</x:v>
      </x:c>
      <x:c r="E303" t="str">
        <x:v>PA</x:v>
      </x:c>
      <x:c r="F303" t="str">
        <x:v>20%</x:v>
      </x:c>
      <x:c r="G303" t="n">
        <x:v>70</x:v>
      </x:c>
      <x:c r="H303" t="str">
        <x:v>D+3</x:v>
      </x:c>
      <x:c r="I303" t="str">
        <x:v>TABELA EUNUQUES LOPES.pdf</x:v>
      </x:c>
      <x:c r="J303" t="str">
        <x:v>1</x:v>
      </x:c>
      <x:c r="K303" t="str">
        <x:v>REVISAR_OK</x:v>
      </x:c>
      <x:c r="L303"/>
      <x:c r="M303"/>
      <x:c r="N303"/>
      <x:c r="O303" t="str">
        <x:v>Fonte E&amp;M Transportes; regra espelhada para Eunuques/EM Lopes conforme CNPJ do parceiro.</x:v>
      </x:c>
      <x:c r="P303" t="str">
        <x:v>ORIGINAL</x:v>
      </x:c>
      <x:c r="Q303"/>
      <x:c r="R303"/>
      <x:c r="S303"/>
      <x:c r="T303"/>
      <x:c r="U303"/>
      <x:c r="V303" t="str">
        <x:v>SIM</x:v>
      </x:c>
      <x:c r="W303" t="str">
        <x:v>EM LOPES</x:v>
      </x:c>
      <x:c r="X303" t="str">
        <x:v>PERCENTUAL</x:v>
      </x:c>
      <x:c r="Y303"/>
      <x:c r="Z303" t="str">
        <x:v>2.6.46</x:v>
      </x:c>
      <x:c r="AA303" t="str">
        <x:v>Frete base × percentual; aplicar frete mínimo quando maior. Bloco percentual ativado; controle visual passivo.</x:v>
      </x:c>
    </x:row>
    <x:row r="304">
      <x:c r="A304" t="str">
        <x:v>REG_EUNUQUES_SRC_0005</x:v>
      </x:c>
      <x:c r="B304" t="str">
        <x:v>EUNUQUES_LOPES</x:v>
      </x:c>
      <x:c r="C304" t="str">
        <x:v>PARAGOMINAS</x:v>
      </x:c>
      <x:c r="D304" t="str">
        <x:v>Bom Jesus do Tocantins</x:v>
      </x:c>
      <x:c r="E304" t="str">
        <x:v>PA</x:v>
      </x:c>
      <x:c r="F304" t="str">
        <x:v>28%</x:v>
      </x:c>
      <x:c r="G304" t="n">
        <x:v>50</x:v>
      </x:c>
      <x:c r="H304" t="str">
        <x:v>D+2</x:v>
      </x:c>
      <x:c r="I304" t="str">
        <x:v>TABELA EUNUQUES LOPES.pdf</x:v>
      </x:c>
      <x:c r="J304" t="str">
        <x:v>1</x:v>
      </x:c>
      <x:c r="K304" t="str">
        <x:v>REVISAR_OK</x:v>
      </x:c>
      <x:c r="L304"/>
      <x:c r="M304"/>
      <x:c r="N304"/>
      <x:c r="O304" t="str">
        <x:v>Fonte E&amp;M Transportes; regra espelhada para Eunuques/EM Lopes conforme CNPJ do parceiro.</x:v>
      </x:c>
      <x:c r="P304" t="str">
        <x:v>ORIGINAL</x:v>
      </x:c>
      <x:c r="Q304"/>
      <x:c r="R304"/>
      <x:c r="S304"/>
      <x:c r="T304"/>
      <x:c r="U304"/>
      <x:c r="V304" t="str">
        <x:v>SIM</x:v>
      </x:c>
      <x:c r="W304" t="str">
        <x:v>EM LOPES</x:v>
      </x:c>
      <x:c r="X304" t="str">
        <x:v>PERCENTUAL</x:v>
      </x:c>
      <x:c r="Y304"/>
      <x:c r="Z304" t="str">
        <x:v>2.6.46</x:v>
      </x:c>
      <x:c r="AA304" t="str">
        <x:v>Frete base × percentual; aplicar frete mínimo quando maior. Bloco percentual ativado; controle visual passivo.</x:v>
      </x:c>
    </x:row>
    <x:row r="305">
      <x:c r="A305" t="str">
        <x:v>REG_EUNUQUES_SRC_0006</x:v>
      </x:c>
      <x:c r="B305" t="str">
        <x:v>EUNUQUES_LOPES</x:v>
      </x:c>
      <x:c r="C305" t="str">
        <x:v>PARAGOMINAS</x:v>
      </x:c>
      <x:c r="D305" t="str">
        <x:v>Abel Figueiredo</x:v>
      </x:c>
      <x:c r="E305" t="str">
        <x:v>PA</x:v>
      </x:c>
      <x:c r="F305" t="str">
        <x:v>25%</x:v>
      </x:c>
      <x:c r="G305" t="n">
        <x:v>50</x:v>
      </x:c>
      <x:c r="H305" t="str">
        <x:v>D+2</x:v>
      </x:c>
      <x:c r="I305" t="str">
        <x:v>TABELA EUNUQUES LOPES.pdf</x:v>
      </x:c>
      <x:c r="J305" t="str">
        <x:v>1</x:v>
      </x:c>
      <x:c r="K305" t="str">
        <x:v>REVISAR_OK</x:v>
      </x:c>
      <x:c r="L305"/>
      <x:c r="M305"/>
      <x:c r="N305"/>
      <x:c r="O305" t="str">
        <x:v>Fonte E&amp;M Transportes; regra espelhada para Eunuques/EM Lopes conforme CNPJ do parceiro.</x:v>
      </x:c>
      <x:c r="P305" t="str">
        <x:v>ORIGINAL</x:v>
      </x:c>
      <x:c r="Q305"/>
      <x:c r="R305"/>
      <x:c r="S305"/>
      <x:c r="T305"/>
      <x:c r="U305"/>
      <x:c r="V305" t="str">
        <x:v>SIM</x:v>
      </x:c>
      <x:c r="W305" t="str">
        <x:v>EM LOPES</x:v>
      </x:c>
      <x:c r="X305" t="str">
        <x:v>PERCENTUAL</x:v>
      </x:c>
      <x:c r="Y305"/>
      <x:c r="Z305" t="str">
        <x:v>2.6.46</x:v>
      </x:c>
      <x:c r="AA305" t="str">
        <x:v>Frete base × percentual; aplicar frete mínimo quando maior. Bloco percentual ativado; controle visual passivo.</x:v>
      </x:c>
    </x:row>
    <x:row r="306">
      <x:c r="A306" t="str">
        <x:v>REG_EUNUQUES_SRC_0007</x:v>
      </x:c>
      <x:c r="B306" t="str">
        <x:v>EUNUQUES_LOPES</x:v>
      </x:c>
      <x:c r="C306" t="str">
        <x:v>PARAGOMINAS</x:v>
      </x:c>
      <x:c r="D306" t="str">
        <x:v>Rondon do Pará</x:v>
      </x:c>
      <x:c r="E306" t="str">
        <x:v>PA</x:v>
      </x:c>
      <x:c r="F306" t="str">
        <x:v>20%</x:v>
      </x:c>
      <x:c r="G306" t="n">
        <x:v>50</x:v>
      </x:c>
      <x:c r="H306" t="str">
        <x:v>D+2</x:v>
      </x:c>
      <x:c r="I306" t="str">
        <x:v>TABELA EUNUQUES LOPES.pdf</x:v>
      </x:c>
      <x:c r="J306" t="str">
        <x:v>1</x:v>
      </x:c>
      <x:c r="K306" t="str">
        <x:v>REVISAR_OK</x:v>
      </x:c>
      <x:c r="L306"/>
      <x:c r="M306"/>
      <x:c r="N306"/>
      <x:c r="O306" t="str">
        <x:v>Fonte E&amp;M Transportes; regra espelhada para Eunuques/EM Lopes conforme CNPJ do parceiro.</x:v>
      </x:c>
      <x:c r="P306" t="str">
        <x:v>ORIGINAL</x:v>
      </x:c>
      <x:c r="Q306"/>
      <x:c r="R306"/>
      <x:c r="S306"/>
      <x:c r="T306"/>
      <x:c r="U306"/>
      <x:c r="V306" t="str">
        <x:v>SIM</x:v>
      </x:c>
      <x:c r="W306" t="str">
        <x:v>EM LOPES</x:v>
      </x:c>
      <x:c r="X306" t="str">
        <x:v>PERCENTUAL</x:v>
      </x:c>
      <x:c r="Y306"/>
      <x:c r="Z306" t="str">
        <x:v>2.6.46</x:v>
      </x:c>
      <x:c r="AA306" t="str">
        <x:v>Frete base × percentual; aplicar frete mínimo quando maior. Bloco percentual ativado; controle visual passivo.</x:v>
      </x:c>
    </x:row>
    <x:row r="307">
      <x:c r="A307" t="str">
        <x:v>REG_EUNUQUES_SRC_0008</x:v>
      </x:c>
      <x:c r="B307" t="str">
        <x:v>EUNUQUES_LOPES</x:v>
      </x:c>
      <x:c r="C307" t="str">
        <x:v>PARAGOMINAS</x:v>
      </x:c>
      <x:c r="D307" t="str">
        <x:v>Dom Eliseu</x:v>
      </x:c>
      <x:c r="E307" t="str">
        <x:v>PA</x:v>
      </x:c>
      <x:c r="F307" t="str">
        <x:v>20%</x:v>
      </x:c>
      <x:c r="G307" t="n">
        <x:v>50</x:v>
      </x:c>
      <x:c r="H307" t="str">
        <x:v>D+2</x:v>
      </x:c>
      <x:c r="I307" t="str">
        <x:v>TABELA EUNUQUES LOPES.pdf</x:v>
      </x:c>
      <x:c r="J307" t="str">
        <x:v>1</x:v>
      </x:c>
      <x:c r="K307" t="str">
        <x:v>REVISAR_OK</x:v>
      </x:c>
      <x:c r="L307"/>
      <x:c r="M307"/>
      <x:c r="N307"/>
      <x:c r="O307" t="str">
        <x:v>Fonte E&amp;M Transportes; regra espelhada para Eunuques/EM Lopes conforme CNPJ do parceiro.</x:v>
      </x:c>
      <x:c r="P307" t="str">
        <x:v>ORIGINAL</x:v>
      </x:c>
      <x:c r="Q307"/>
      <x:c r="R307"/>
      <x:c r="S307"/>
      <x:c r="T307"/>
      <x:c r="U307"/>
      <x:c r="V307" t="str">
        <x:v>SIM</x:v>
      </x:c>
      <x:c r="W307" t="str">
        <x:v>EM LOPES</x:v>
      </x:c>
      <x:c r="X307" t="str">
        <x:v>PERCENTUAL</x:v>
      </x:c>
      <x:c r="Y307"/>
      <x:c r="Z307" t="str">
        <x:v>2.6.46</x:v>
      </x:c>
      <x:c r="AA307" t="str">
        <x:v>Frete base × percentual; aplicar frete mínimo quando maior. Bloco percentual ativado; controle visual passivo.</x:v>
      </x:c>
    </x:row>
    <x:row r="308">
      <x:c r="A308" t="str">
        <x:v>REG_EUNUQUES_SRC_0009</x:v>
      </x:c>
      <x:c r="B308" t="str">
        <x:v>EUNUQUES_LOPES</x:v>
      </x:c>
      <x:c r="C308" t="str">
        <x:v>PARAGOMINAS</x:v>
      </x:c>
      <x:c r="D308" t="str">
        <x:v>Ulianópolis</x:v>
      </x:c>
      <x:c r="E308" t="str">
        <x:v>PA</x:v>
      </x:c>
      <x:c r="F308" t="str">
        <x:v>20%</x:v>
      </x:c>
      <x:c r="G308" t="n">
        <x:v>50</x:v>
      </x:c>
      <x:c r="H308" t="str">
        <x:v>D+2</x:v>
      </x:c>
      <x:c r="I308" t="str">
        <x:v>TABELA EUNUQUES LOPES.pdf</x:v>
      </x:c>
      <x:c r="J308" t="str">
        <x:v>1</x:v>
      </x:c>
      <x:c r="K308" t="str">
        <x:v>REVISAR_OK</x:v>
      </x:c>
      <x:c r="L308"/>
      <x:c r="M308"/>
      <x:c r="N308"/>
      <x:c r="O308" t="str">
        <x:v>Fonte E&amp;M Transportes; regra espelhada para Eunuques/EM Lopes conforme CNPJ do parceiro.</x:v>
      </x:c>
      <x:c r="P308" t="str">
        <x:v>ORIGINAL</x:v>
      </x:c>
      <x:c r="Q308"/>
      <x:c r="R308"/>
      <x:c r="S308"/>
      <x:c r="T308"/>
      <x:c r="U308"/>
      <x:c r="V308" t="str">
        <x:v>SIM</x:v>
      </x:c>
      <x:c r="W308" t="str">
        <x:v>EM LOPES</x:v>
      </x:c>
      <x:c r="X308" t="str">
        <x:v>PERCENTUAL</x:v>
      </x:c>
      <x:c r="Y308"/>
      <x:c r="Z308" t="str">
        <x:v>2.6.46</x:v>
      </x:c>
      <x:c r="AA308" t="str">
        <x:v>Frete base × percentual; aplicar frete mínimo quando maior. Bloco percentual ativado; controle visual passivo.</x:v>
      </x:c>
    </x:row>
    <x:row r="309">
      <x:c r="A309" t="str">
        <x:v>REG_EUNUQUES_SRC_0010</x:v>
      </x:c>
      <x:c r="B309" t="str">
        <x:v>EUNUQUES_LOPES</x:v>
      </x:c>
      <x:c r="C309" t="str">
        <x:v>PARAGOMINAS</x:v>
      </x:c>
      <x:c r="D309" t="str">
        <x:v>Vila Canaã</x:v>
      </x:c>
      <x:c r="E309" t="str">
        <x:v>PA</x:v>
      </x:c>
      <x:c r="F309" t="str">
        <x:v>20%</x:v>
      </x:c>
      <x:c r="G309" t="n">
        <x:v>60</x:v>
      </x:c>
      <x:c r="H309" t="str">
        <x:v>D+3</x:v>
      </x:c>
      <x:c r="I309" t="str">
        <x:v>TABELA EUNUQUES LOPES.pdf</x:v>
      </x:c>
      <x:c r="J309" t="str">
        <x:v>1</x:v>
      </x:c>
      <x:c r="K309" t="str">
        <x:v>REVISAR_OK</x:v>
      </x:c>
      <x:c r="L309"/>
      <x:c r="M309"/>
      <x:c r="N309"/>
      <x:c r="O309" t="str">
        <x:v>Fonte E&amp;M Transportes; regra espelhada para Eunuques/EM Lopes conforme CNPJ do parceiro.</x:v>
      </x:c>
      <x:c r="P309" t="str">
        <x:v>ORIGINAL</x:v>
      </x:c>
      <x:c r="Q309"/>
      <x:c r="R309"/>
      <x:c r="S309"/>
      <x:c r="T309"/>
      <x:c r="U309"/>
      <x:c r="V309" t="str">
        <x:v>SIM</x:v>
      </x:c>
      <x:c r="W309" t="str">
        <x:v>EM LOPES</x:v>
      </x:c>
      <x:c r="X309" t="str">
        <x:v>PERCENTUAL</x:v>
      </x:c>
      <x:c r="Y309"/>
      <x:c r="Z309" t="str">
        <x:v>2.6.46</x:v>
      </x:c>
      <x:c r="AA309" t="str">
        <x:v>Frete base × percentual; aplicar frete mínimo quando maior. Bloco percentual ativado; controle visual passivo.</x:v>
      </x:c>
    </x:row>
    <x:row r="310">
      <x:c r="A310" t="str">
        <x:v>REG_EUNUQUES_SRC_0011</x:v>
      </x:c>
      <x:c r="B310" t="str">
        <x:v>EUNUQUES_LOPES</x:v>
      </x:c>
      <x:c r="C310" t="str">
        <x:v>PARAGOMINAS</x:v>
      </x:c>
      <x:c r="D310" t="str">
        <x:v>Ipixuna</x:v>
      </x:c>
      <x:c r="E310" t="str">
        <x:v>PA</x:v>
      </x:c>
      <x:c r="F310" t="str">
        <x:v>20%</x:v>
      </x:c>
      <x:c r="G310" t="n">
        <x:v>60</x:v>
      </x:c>
      <x:c r="H310" t="str">
        <x:v>D+2</x:v>
      </x:c>
      <x:c r="I310" t="str">
        <x:v>TABELA EUNUQUES LOPES.pdf</x:v>
      </x:c>
      <x:c r="J310" t="str">
        <x:v>1</x:v>
      </x:c>
      <x:c r="K310" t="str">
        <x:v>REVISAR_OK</x:v>
      </x:c>
      <x:c r="L310"/>
      <x:c r="M310"/>
      <x:c r="N310"/>
      <x:c r="O310" t="str">
        <x:v>Fonte E&amp;M Transportes; regra espelhada para Eunuques/EM Lopes conforme CNPJ do parceiro.</x:v>
      </x:c>
      <x:c r="P310" t="str">
        <x:v>ORIGINAL</x:v>
      </x:c>
      <x:c r="Q310"/>
      <x:c r="R310"/>
      <x:c r="S310"/>
      <x:c r="T310"/>
      <x:c r="U310"/>
      <x:c r="V310" t="str">
        <x:v>SIM</x:v>
      </x:c>
      <x:c r="W310" t="str">
        <x:v>EM LOPES</x:v>
      </x:c>
      <x:c r="X310" t="str">
        <x:v>PERCENTUAL</x:v>
      </x:c>
      <x:c r="Y310"/>
      <x:c r="Z310" t="str">
        <x:v>2.6.46</x:v>
      </x:c>
      <x:c r="AA310" t="str">
        <x:v>Frete base × percentual; aplicar frete mínimo quando maior. Bloco percentual ativado; controle visual passivo.</x:v>
      </x:c>
    </x:row>
    <x:row r="311">
      <x:c r="A311" t="str">
        <x:v>REG_EUNUQUES_SRC_0012</x:v>
      </x:c>
      <x:c r="B311" t="str">
        <x:v>EUNUQUES_LOPES</x:v>
      </x:c>
      <x:c r="C311" t="str">
        <x:v>PARAGOMINAS</x:v>
      </x:c>
      <x:c r="D311" t="str">
        <x:v>Aurora do Pará</x:v>
      </x:c>
      <x:c r="E311" t="str">
        <x:v>PA</x:v>
      </x:c>
      <x:c r="F311" t="str">
        <x:v>25%</x:v>
      </x:c>
      <x:c r="G311" t="n">
        <x:v>60</x:v>
      </x:c>
      <x:c r="H311" t="str">
        <x:v>D+2</x:v>
      </x:c>
      <x:c r="I311" t="str">
        <x:v>TABELA EUNUQUES LOPES.pdf</x:v>
      </x:c>
      <x:c r="J311" t="str">
        <x:v>1</x:v>
      </x:c>
      <x:c r="K311" t="str">
        <x:v>REVISAR_OK</x:v>
      </x:c>
      <x:c r="L311"/>
      <x:c r="M311"/>
      <x:c r="N311"/>
      <x:c r="O311" t="str">
        <x:v>Fonte E&amp;M Transportes; regra espelhada para Eunuques/EM Lopes conforme CNPJ do parceiro.</x:v>
      </x:c>
      <x:c r="P311" t="str">
        <x:v>ORIGINAL</x:v>
      </x:c>
      <x:c r="Q311"/>
      <x:c r="R311"/>
      <x:c r="S311"/>
      <x:c r="T311"/>
      <x:c r="U311"/>
      <x:c r="V311" t="str">
        <x:v>SIM</x:v>
      </x:c>
      <x:c r="W311" t="str">
        <x:v>EM LOPES</x:v>
      </x:c>
      <x:c r="X311" t="str">
        <x:v>PERCENTUAL</x:v>
      </x:c>
      <x:c r="Y311"/>
      <x:c r="Z311" t="str">
        <x:v>2.6.46</x:v>
      </x:c>
      <x:c r="AA311" t="str">
        <x:v>Frete base × percentual; aplicar frete mínimo quando maior. Bloco percentual ativado; controle visual passivo.</x:v>
      </x:c>
    </x:row>
    <x:row r="312">
      <x:c r="A312" t="str">
        <x:v>REG_EUNUQUES_SRC_0014</x:v>
      </x:c>
      <x:c r="B312" t="str">
        <x:v>EUNUQUES_LOPES</x:v>
      </x:c>
      <x:c r="C312" t="str">
        <x:v>PARAGOMINAS</x:v>
      </x:c>
      <x:c r="D312" t="str">
        <x:v>São Miguel</x:v>
      </x:c>
      <x:c r="E312" t="str">
        <x:v>PA</x:v>
      </x:c>
      <x:c r="F312" t="str">
        <x:v>28%</x:v>
      </x:c>
      <x:c r="G312" t="n">
        <x:v>70</x:v>
      </x:c>
      <x:c r="H312" t="str">
        <x:v>D+2</x:v>
      </x:c>
      <x:c r="I312" t="str">
        <x:v>TABELA EUNUQUES LOPES.pdf</x:v>
      </x:c>
      <x:c r="J312" t="str">
        <x:v>1</x:v>
      </x:c>
      <x:c r="K312" t="str">
        <x:v>REVISAR_OK</x:v>
      </x:c>
      <x:c r="L312"/>
      <x:c r="M312"/>
      <x:c r="N312"/>
      <x:c r="O312" t="str">
        <x:v>Fonte E&amp;M Transportes; regra espelhada para Eunuques/EM Lopes conforme CNPJ do parceiro.</x:v>
      </x:c>
      <x:c r="P312" t="str">
        <x:v>ORIGINAL</x:v>
      </x:c>
      <x:c r="Q312"/>
      <x:c r="R312"/>
      <x:c r="S312"/>
      <x:c r="T312"/>
      <x:c r="U312"/>
      <x:c r="V312" t="str">
        <x:v>SIM</x:v>
      </x:c>
      <x:c r="W312" t="str">
        <x:v>EM LOPES</x:v>
      </x:c>
      <x:c r="X312" t="str">
        <x:v>PERCENTUAL</x:v>
      </x:c>
      <x:c r="Y312"/>
      <x:c r="Z312" t="str">
        <x:v>2.6.46</x:v>
      </x:c>
      <x:c r="AA312" t="str">
        <x:v>Frete base × percentual; aplicar frete mínimo quando maior. Bloco percentual ativado; controle visual passivo.</x:v>
      </x:c>
    </x:row>
    <x:row r="313">
      <x:c r="A313" t="str">
        <x:v>REG_EUNUQUES_SRC_0015</x:v>
      </x:c>
      <x:c r="B313" t="str">
        <x:v>EUNUQUES_LOPES</x:v>
      </x:c>
      <x:c r="C313" t="str">
        <x:v>PARAGOMINAS</x:v>
      </x:c>
      <x:c r="D313" t="str">
        <x:v>Santa Maria</x:v>
      </x:c>
      <x:c r="E313" t="str">
        <x:v>PA</x:v>
      </x:c>
      <x:c r="F313" t="str">
        <x:v>28%</x:v>
      </x:c>
      <x:c r="G313" t="n">
        <x:v>70</x:v>
      </x:c>
      <x:c r="H313" t="str">
        <x:v>D+2</x:v>
      </x:c>
      <x:c r="I313" t="str">
        <x:v>TABELA EUNUQUES LOPES.pdf</x:v>
      </x:c>
      <x:c r="J313" t="str">
        <x:v>1</x:v>
      </x:c>
      <x:c r="K313" t="str">
        <x:v>REVISAR_OK</x:v>
      </x:c>
      <x:c r="L313"/>
      <x:c r="M313"/>
      <x:c r="N313"/>
      <x:c r="O313" t="str">
        <x:v>Fonte E&amp;M Transportes; regra espelhada para Eunuques/EM Lopes conforme CNPJ do parceiro.</x:v>
      </x:c>
      <x:c r="P313" t="str">
        <x:v>ORIGINAL</x:v>
      </x:c>
      <x:c r="Q313"/>
      <x:c r="R313"/>
      <x:c r="S313"/>
      <x:c r="T313"/>
      <x:c r="U313"/>
      <x:c r="V313" t="str">
        <x:v>SIM</x:v>
      </x:c>
      <x:c r="W313" t="str">
        <x:v>EM LOPES</x:v>
      </x:c>
      <x:c r="X313" t="str">
        <x:v>PERCENTUAL</x:v>
      </x:c>
      <x:c r="Y313"/>
      <x:c r="Z313" t="str">
        <x:v>2.6.46</x:v>
      </x:c>
      <x:c r="AA313" t="str">
        <x:v>Frete base × percentual; aplicar frete mínimo quando maior. Bloco percentual ativado; controle visual passivo.</x:v>
      </x:c>
    </x:row>
    <x:row r="314">
      <x:c r="A314" t="str">
        <x:v>REG_EUNUQUES_SRC_0016</x:v>
      </x:c>
      <x:c r="B314" t="str">
        <x:v>EUNUQUES_LOPES</x:v>
      </x:c>
      <x:c r="C314" t="str">
        <x:v>PARAGOMINAS</x:v>
      </x:c>
      <x:c r="D314" t="str">
        <x:v>Castanhal</x:v>
      </x:c>
      <x:c r="E314" t="str">
        <x:v>PA</x:v>
      </x:c>
      <x:c r="F314" t="str">
        <x:v>28%</x:v>
      </x:c>
      <x:c r="G314" t="n">
        <x:v>70</x:v>
      </x:c>
      <x:c r="H314" t="str">
        <x:v>D+2</x:v>
      </x:c>
      <x:c r="I314" t="str">
        <x:v>TABELA EUNUQUES LOPES.pdf</x:v>
      </x:c>
      <x:c r="J314" t="str">
        <x:v>1</x:v>
      </x:c>
      <x:c r="K314" t="str">
        <x:v>REVISAR_OK</x:v>
      </x:c>
      <x:c r="L314"/>
      <x:c r="M314"/>
      <x:c r="N314"/>
      <x:c r="O314" t="str">
        <x:v>Fonte E&amp;M Transportes; regra espelhada para Eunuques/EM Lopes conforme CNPJ do parceiro.</x:v>
      </x:c>
      <x:c r="P314" t="str">
        <x:v>ORIGINAL</x:v>
      </x:c>
      <x:c r="Q314"/>
      <x:c r="R314"/>
      <x:c r="S314"/>
      <x:c r="T314"/>
      <x:c r="U314"/>
      <x:c r="V314" t="str">
        <x:v>SIM</x:v>
      </x:c>
      <x:c r="W314" t="str">
        <x:v>EM LOPES</x:v>
      </x:c>
      <x:c r="X314" t="str">
        <x:v>PERCENTUAL</x:v>
      </x:c>
      <x:c r="Y314"/>
      <x:c r="Z314" t="str">
        <x:v>2.6.46</x:v>
      </x:c>
      <x:c r="AA314" t="str">
        <x:v>Frete base × percentual; aplicar frete mínimo quando maior. Bloco percentual ativado; controle visual passivo.</x:v>
      </x:c>
    </x:row>
    <x:row r="315">
      <x:c r="A315" t="str">
        <x:v>REG_EUNUQUES_SRC_0017</x:v>
      </x:c>
      <x:c r="B315" t="str">
        <x:v>EUNUQUES_LOPES</x:v>
      </x:c>
      <x:c r="C315" t="str">
        <x:v>PARAGOMINAS</x:v>
      </x:c>
      <x:c r="D315" t="str">
        <x:v>Itinga/MA</x:v>
      </x:c>
      <x:c r="E315" t="str">
        <x:v>PA</x:v>
      </x:c>
      <x:c r="F315" t="str">
        <x:v>25%</x:v>
      </x:c>
      <x:c r="G315" t="n">
        <x:v>70</x:v>
      </x:c>
      <x:c r="H315" t="str">
        <x:v>D+2</x:v>
      </x:c>
      <x:c r="I315" t="str">
        <x:v>TABELA EUNUQUES LOPES.pdf</x:v>
      </x:c>
      <x:c r="J315" t="str">
        <x:v>1</x:v>
      </x:c>
      <x:c r="K315" t="str">
        <x:v>REVISAR_OK</x:v>
      </x:c>
      <x:c r="L315"/>
      <x:c r="M315"/>
      <x:c r="N315"/>
      <x:c r="O315" t="str">
        <x:v>Fonte E&amp;M Transportes; regra espelhada para Eunuques/EM Lopes conforme CNPJ do parceiro.</x:v>
      </x:c>
      <x:c r="P315" t="str">
        <x:v>ORIGINAL</x:v>
      </x:c>
      <x:c r="Q315"/>
      <x:c r="R315"/>
      <x:c r="S315"/>
      <x:c r="T315"/>
      <x:c r="U315"/>
      <x:c r="V315" t="str">
        <x:v>SIM</x:v>
      </x:c>
      <x:c r="W315" t="str">
        <x:v>EM LOPES</x:v>
      </x:c>
      <x:c r="X315" t="str">
        <x:v>PERCENTUAL</x:v>
      </x:c>
      <x:c r="Y315"/>
      <x:c r="Z315" t="str">
        <x:v>2.6.46</x:v>
      </x:c>
      <x:c r="AA315" t="str">
        <x:v>Frete base × percentual; aplicar frete mínimo quando maior. Bloco percentual ativado; controle visual passivo.</x:v>
      </x:c>
    </x:row>
    <x:row r="316">
      <x:c r="A316" t="str">
        <x:v>REG_EUNUQUES_SRC_0018</x:v>
      </x:c>
      <x:c r="B316" t="str">
        <x:v>EUNUQUES_LOPES</x:v>
      </x:c>
      <x:c r="C316" t="str">
        <x:v>PARAGOMINAS</x:v>
      </x:c>
      <x:c r="D316" t="str">
        <x:v>Açailândia</x:v>
      </x:c>
      <x:c r="E316" t="str">
        <x:v>PA</x:v>
      </x:c>
      <x:c r="F316" t="str">
        <x:v>28%</x:v>
      </x:c>
      <x:c r="G316" t="n">
        <x:v>70</x:v>
      </x:c>
      <x:c r="H316" t="str">
        <x:v>D+2</x:v>
      </x:c>
      <x:c r="I316" t="str">
        <x:v>TABELA EUNUQUES LOPES.pdf</x:v>
      </x:c>
      <x:c r="J316" t="str">
        <x:v>1</x:v>
      </x:c>
      <x:c r="K316" t="str">
        <x:v>REVISAR_OK</x:v>
      </x:c>
      <x:c r="L316"/>
      <x:c r="M316"/>
      <x:c r="N316"/>
      <x:c r="O316" t="str">
        <x:v>Fonte E&amp;M Transportes; regra espelhada para Eunuques/EM Lopes conforme CNPJ do parceiro.</x:v>
      </x:c>
      <x:c r="P316" t="str">
        <x:v>ORIGINAL</x:v>
      </x:c>
      <x:c r="Q316"/>
      <x:c r="R316"/>
      <x:c r="S316"/>
      <x:c r="T316"/>
      <x:c r="U316"/>
      <x:c r="V316" t="str">
        <x:v>SIM</x:v>
      </x:c>
      <x:c r="W316" t="str">
        <x:v>EM LOPES</x:v>
      </x:c>
      <x:c r="X316" t="str">
        <x:v>PERCENTUAL</x:v>
      </x:c>
      <x:c r="Y316"/>
      <x:c r="Z316" t="str">
        <x:v>2.6.46</x:v>
      </x:c>
      <x:c r="AA316" t="str">
        <x:v>Frete base × percentual; aplicar frete mínimo quando maior. Bloco percentual ativado; controle visual passivo.</x:v>
      </x:c>
    </x:row>
    <x:row r="317">
      <x:c r="A317" t="str">
        <x:v>REG_EUNUQUES_SRC_0019</x:v>
      </x:c>
      <x:c r="B317" t="str">
        <x:v>EUNUQUES_LOPES</x:v>
      </x:c>
      <x:c r="C317" t="str">
        <x:v>PARAGOMINAS</x:v>
      </x:c>
      <x:c r="D317" t="str">
        <x:v>Imperatriz</x:v>
      </x:c>
      <x:c r="E317" t="str">
        <x:v>PA</x:v>
      </x:c>
      <x:c r="F317" t="str">
        <x:v>28%</x:v>
      </x:c>
      <x:c r="G317" t="n">
        <x:v>70</x:v>
      </x:c>
      <x:c r="H317" t="str">
        <x:v>D+2</x:v>
      </x:c>
      <x:c r="I317" t="str">
        <x:v>TABELA EUNUQUES LOPES.pdf</x:v>
      </x:c>
      <x:c r="J317" t="str">
        <x:v>1</x:v>
      </x:c>
      <x:c r="K317" t="str">
        <x:v>REVISAR_OK</x:v>
      </x:c>
      <x:c r="L317"/>
      <x:c r="M317"/>
      <x:c r="N317"/>
      <x:c r="O317" t="str">
        <x:v>Fonte E&amp;M Transportes; regra espelhada para Eunuques/EM Lopes conforme CNPJ do parceiro.</x:v>
      </x:c>
      <x:c r="P317" t="str">
        <x:v>ORIGINAL</x:v>
      </x:c>
      <x:c r="Q317"/>
      <x:c r="R317"/>
      <x:c r="S317"/>
      <x:c r="T317"/>
      <x:c r="U317"/>
      <x:c r="V317" t="str">
        <x:v>SIM</x:v>
      </x:c>
      <x:c r="W317" t="str">
        <x:v>EM LOPES</x:v>
      </x:c>
      <x:c r="X317" t="str">
        <x:v>PERCENTUAL</x:v>
      </x:c>
      <x:c r="Y317"/>
      <x:c r="Z317" t="str">
        <x:v>2.6.46</x:v>
      </x:c>
      <x:c r="AA317" t="str">
        <x:v>Frete base × percentual; aplicar frete mínimo quando maior. Bloco percentual ativado; controle visual passivo.</x:v>
      </x:c>
    </x:row>
    <x:row r="318">
      <x:c r="A318" t="str">
        <x:v>REG_MF_LOBATO_SRC_0001</x:v>
      </x:c>
      <x:c r="B318" t="str">
        <x:v>MF_LOBATO</x:v>
      </x:c>
      <x:c r="C318" t="str">
        <x:v>MARAJO CARGAS LOCALIDADES</x:v>
      </x:c>
      <x:c r="D318" t="str">
        <x:v>Gurupá</x:v>
      </x:c>
      <x:c r="E318" t="str">
        <x:v>PA</x:v>
      </x:c>
      <x:c r="F318" t="str">
        <x:v>35%</x:v>
      </x:c>
      <x:c r="G318" t="n">
        <x:v>40</x:v>
      </x:c>
      <x:c r="H318" t="str">
        <x:v>3 A 4 DIAS</x:v>
      </x:c>
      <x:c r="I318" t="str">
        <x:v>TABELA MARAJO CARGAS (MF LOBATO).pdf</x:v>
      </x:c>
      <x:c r="J318" t="str">
        <x:v>2</x:v>
      </x:c>
      <x:c r="K318" t="str">
        <x:v>REVISAR_OK</x:v>
      </x:c>
      <x:c r="L318"/>
      <x:c r="M318"/>
      <x:c r="N318" t="str">
        <x:v>01/11/2024</x:v>
      </x:c>
      <x:c r="O318" t="str">
        <x:v>Tabela Marajó Cargas/M.F. Lobato: Gurupá 35%, taxa mínima R$40.</x:v>
      </x:c>
      <x:c r="P318" t="str">
        <x:v>ORIGINAL</x:v>
      </x:c>
      <x:c r="Q318"/>
      <x:c r="R318"/>
      <x:c r="S318"/>
      <x:c r="T318"/>
      <x:c r="U318"/>
      <x:c r="V318" t="str">
        <x:v>SIM</x:v>
      </x:c>
      <x:c r="W318" t="str">
        <x:v>M. F. LOBATO</x:v>
      </x:c>
      <x:c r="X318" t="str">
        <x:v>PERCENTUAL</x:v>
      </x:c>
      <x:c r="Y318"/>
      <x:c r="Z318" t="str">
        <x:v>2.6.46</x:v>
      </x:c>
      <x:c r="AA318" t="str">
        <x:v>Frete base × percentual; aplicar frete mínimo quando maior. Bloco percentual ativado; controle visual passivo.</x:v>
      </x:c>
    </x:row>
    <x:row r="319">
      <x:c r="A319" t="str">
        <x:v>REG_MF_LOBATO_SRC_0002</x:v>
      </x:c>
      <x:c r="B319" t="str">
        <x:v>MF_LOBATO</x:v>
      </x:c>
      <x:c r="C319" t="str">
        <x:v>MARAJO CARGAS LOCALIDADES</x:v>
      </x:c>
      <x:c r="D319" t="str">
        <x:v>Monte Dourado</x:v>
      </x:c>
      <x:c r="E319" t="str">
        <x:v>PA</x:v>
      </x:c>
      <x:c r="F319" t="str">
        <x:v>35%</x:v>
      </x:c>
      <x:c r="G319" t="n">
        <x:v>40</x:v>
      </x:c>
      <x:c r="H319" t="str">
        <x:v>3 A 4 DIAS</x:v>
      </x:c>
      <x:c r="I319" t="str">
        <x:v>TABELA MARAJO CARGAS (MF LOBATO).pdf</x:v>
      </x:c>
      <x:c r="J319" t="str">
        <x:v>2</x:v>
      </x:c>
      <x:c r="K319" t="str">
        <x:v>REVISAR_OK</x:v>
      </x:c>
      <x:c r="L319"/>
      <x:c r="M319"/>
      <x:c r="N319" t="str">
        <x:v>01/11/2024</x:v>
      </x:c>
      <x:c r="O319" t="str">
        <x:v>Tabela Marajó Cargas/M.F. Lobato: Monte Dourado 35%, taxa mínima R$40.</x:v>
      </x:c>
      <x:c r="P319" t="str">
        <x:v>ORIGINAL</x:v>
      </x:c>
      <x:c r="Q319"/>
      <x:c r="R319"/>
      <x:c r="S319"/>
      <x:c r="T319"/>
      <x:c r="U319"/>
      <x:c r="V319" t="str">
        <x:v>SIM</x:v>
      </x:c>
      <x:c r="W319" t="str">
        <x:v>M. F. LOBATO</x:v>
      </x:c>
      <x:c r="X319" t="str">
        <x:v>PERCENTUAL</x:v>
      </x:c>
      <x:c r="Y319"/>
      <x:c r="Z319" t="str">
        <x:v>2.6.46</x:v>
      </x:c>
      <x:c r="AA319" t="str">
        <x:v>Frete base × percentual; aplicar frete mínimo quando maior. Bloco percentual ativado; controle visual passivo.</x:v>
      </x:c>
    </x:row>
    <x:row r="320">
      <x:c r="A320" t="str">
        <x:v>REG_MF_LOBATO_SRC_0003</x:v>
      </x:c>
      <x:c r="B320" t="str">
        <x:v>MF_LOBATO</x:v>
      </x:c>
      <x:c r="C320" t="str">
        <x:v>MARAJO CARGAS LOCALIDADES</x:v>
      </x:c>
      <x:c r="D320" t="str">
        <x:v>Laranjal do Jari</x:v>
      </x:c>
      <x:c r="E320" t="str">
        <x:v>AP</x:v>
      </x:c>
      <x:c r="F320" t="str">
        <x:v>35%</x:v>
      </x:c>
      <x:c r="G320" t="n">
        <x:v>40</x:v>
      </x:c>
      <x:c r="H320" t="str">
        <x:v>3 A 4 DIAS</x:v>
      </x:c>
      <x:c r="I320" t="str">
        <x:v>TABELA MARAJO CARGAS (MF LOBATO).pdf</x:v>
      </x:c>
      <x:c r="J320" t="str">
        <x:v>2</x:v>
      </x:c>
      <x:c r="K320" t="str">
        <x:v>REVISAR_OK</x:v>
      </x:c>
      <x:c r="L320"/>
      <x:c r="M320"/>
      <x:c r="N320" t="str">
        <x:v>01/11/2024</x:v>
      </x:c>
      <x:c r="O320" t="str">
        <x:v>Tabela Marajó Cargas/M.F. Lobato: Laranjal do Jari 35%, taxa mínima R$40.</x:v>
      </x:c>
      <x:c r="P320" t="str">
        <x:v>ORIGINAL</x:v>
      </x:c>
      <x:c r="Q320"/>
      <x:c r="R320"/>
      <x:c r="S320"/>
      <x:c r="T320"/>
      <x:c r="U320"/>
      <x:c r="V320" t="str">
        <x:v>SIM</x:v>
      </x:c>
      <x:c r="W320" t="str">
        <x:v>M. F. LOBATO</x:v>
      </x:c>
      <x:c r="X320" t="str">
        <x:v>PERCENTUAL</x:v>
      </x:c>
      <x:c r="Y320"/>
      <x:c r="Z320" t="str">
        <x:v>2.6.46</x:v>
      </x:c>
      <x:c r="AA320" t="str">
        <x:v>Frete base × percentual; aplicar frete mínimo quando maior. Bloco percentual ativado; controle visual passivo.</x:v>
      </x:c>
    </x:row>
    <x:row r="321">
      <x:c r="A321" t="str">
        <x:v>REG_MF_LOBATO_SRC_0004</x:v>
      </x:c>
      <x:c r="B321" t="str">
        <x:v>MF_LOBATO</x:v>
      </x:c>
      <x:c r="C321" t="str">
        <x:v>MARAJO CARGAS LOCALIDADES</x:v>
      </x:c>
      <x:c r="D321" t="str">
        <x:v>Vitória do Jari</x:v>
      </x:c>
      <x:c r="E321" t="str">
        <x:v>AP</x:v>
      </x:c>
      <x:c r="F321" t="str">
        <x:v>35%</x:v>
      </x:c>
      <x:c r="G321" t="n">
        <x:v>40</x:v>
      </x:c>
      <x:c r="H321" t="str">
        <x:v>3 A 4 DIAS</x:v>
      </x:c>
      <x:c r="I321" t="str">
        <x:v>TABELA MARAJO CARGAS (MF LOBATO).pdf</x:v>
      </x:c>
      <x:c r="J321" t="str">
        <x:v>2</x:v>
      </x:c>
      <x:c r="K321" t="str">
        <x:v>REVISAR_OK</x:v>
      </x:c>
      <x:c r="L321"/>
      <x:c r="M321"/>
      <x:c r="N321" t="str">
        <x:v>01/11/2024</x:v>
      </x:c>
      <x:c r="O321" t="str">
        <x:v>Tabela Marajó Cargas/M.F. Lobato: Vitória do Jari 35%, taxa mínima R$40.</x:v>
      </x:c>
      <x:c r="P321" t="str">
        <x:v>ORIGINAL</x:v>
      </x:c>
      <x:c r="Q321"/>
      <x:c r="R321"/>
      <x:c r="S321"/>
      <x:c r="T321"/>
      <x:c r="U321"/>
      <x:c r="V321" t="str">
        <x:v>SIM</x:v>
      </x:c>
      <x:c r="W321" t="str">
        <x:v>M. F. LOBATO</x:v>
      </x:c>
      <x:c r="X321" t="str">
        <x:v>PERCENTUAL</x:v>
      </x:c>
      <x:c r="Y321"/>
      <x:c r="Z321" t="str">
        <x:v>2.6.46</x:v>
      </x:c>
      <x:c r="AA321" t="str">
        <x:v>Frete base × percentual; aplicar frete mínimo quando maior. Bloco percentual ativado; controle visual passivo.</x:v>
      </x:c>
    </x:row>
    <x:row r="322">
      <x:c r="A322" t="str">
        <x:v>REG_MF_LOBATO_SRC_0005</x:v>
      </x:c>
      <x:c r="B322" t="str">
        <x:v>MF_LOBATO</x:v>
      </x:c>
      <x:c r="C322" t="str">
        <x:v>MARAJO CARGAS LOCALIDADES</x:v>
      </x:c>
      <x:c r="D322" t="str">
        <x:v>Cametá</x:v>
      </x:c>
      <x:c r="E322" t="str">
        <x:v>PA</x:v>
      </x:c>
      <x:c r="F322" t="str">
        <x:v>40%</x:v>
      </x:c>
      <x:c r="G322" t="n">
        <x:v>40</x:v>
      </x:c>
      <x:c r="H322" t="str">
        <x:v>1 A 2 DIAS</x:v>
      </x:c>
      <x:c r="I322" t="str">
        <x:v>TABELA MARAJO CARGAS (MF LOBATO).pdf</x:v>
      </x:c>
      <x:c r="J322" t="str">
        <x:v>2</x:v>
      </x:c>
      <x:c r="K322" t="str">
        <x:v>REVISAR_OK</x:v>
      </x:c>
      <x:c r="L322"/>
      <x:c r="M322"/>
      <x:c r="N322" t="str">
        <x:v>01/11/2024</x:v>
      </x:c>
      <x:c r="O322" t="str">
        <x:v>Tabela Marajó Cargas/M.F. Lobato: Cametá 40%, taxa mínima R$40.</x:v>
      </x:c>
      <x:c r="P322" t="str">
        <x:v>ORIGINAL</x:v>
      </x:c>
      <x:c r="Q322"/>
      <x:c r="R322"/>
      <x:c r="S322"/>
      <x:c r="T322"/>
      <x:c r="U322"/>
      <x:c r="V322" t="str">
        <x:v>SIM</x:v>
      </x:c>
      <x:c r="W322" t="str">
        <x:v>M. F. LOBATO</x:v>
      </x:c>
      <x:c r="X322" t="str">
        <x:v>PERCENTUAL</x:v>
      </x:c>
      <x:c r="Y322"/>
      <x:c r="Z322" t="str">
        <x:v>2.6.46</x:v>
      </x:c>
      <x:c r="AA322" t="str">
        <x:v>Frete base × percentual; aplicar frete mínimo quando maior. Bloco percentual ativado; controle visual passivo.</x:v>
      </x:c>
    </x:row>
    <x:row r="323">
      <x:c r="A323" t="str">
        <x:v>REG_MF_LOBATO_SRC_0006</x:v>
      </x:c>
      <x:c r="B323" t="str">
        <x:v>MF_LOBATO</x:v>
      </x:c>
      <x:c r="C323" t="str">
        <x:v>MARAJO CARGAS LOCALIDADES</x:v>
      </x:c>
      <x:c r="D323" t="str">
        <x:v>Baião</x:v>
      </x:c>
      <x:c r="E323" t="str">
        <x:v>PA</x:v>
      </x:c>
      <x:c r="F323" t="str">
        <x:v>40%</x:v>
      </x:c>
      <x:c r="G323" t="n">
        <x:v>40</x:v>
      </x:c>
      <x:c r="H323" t="str">
        <x:v>2 A 3 DIAS</x:v>
      </x:c>
      <x:c r="I323" t="str">
        <x:v>TABELA MARAJO CARGAS (MF LOBATO).pdf</x:v>
      </x:c>
      <x:c r="J323" t="str">
        <x:v>2</x:v>
      </x:c>
      <x:c r="K323" t="str">
        <x:v>REVISAR_OK</x:v>
      </x:c>
      <x:c r="L323"/>
      <x:c r="M323"/>
      <x:c r="N323" t="str">
        <x:v>01/11/2024</x:v>
      </x:c>
      <x:c r="O323" t="str">
        <x:v>Tabela Marajó Cargas/M.F. Lobato: Baião 40%, taxa mínima R$40.</x:v>
      </x:c>
      <x:c r="P323" t="str">
        <x:v>ORIGINAL</x:v>
      </x:c>
      <x:c r="Q323"/>
      <x:c r="R323"/>
      <x:c r="S323"/>
      <x:c r="T323"/>
      <x:c r="U323"/>
      <x:c r="V323" t="str">
        <x:v>SIM</x:v>
      </x:c>
      <x:c r="W323" t="str">
        <x:v>M. F. LOBATO</x:v>
      </x:c>
      <x:c r="X323" t="str">
        <x:v>PERCENTUAL</x:v>
      </x:c>
      <x:c r="Y323"/>
      <x:c r="Z323" t="str">
        <x:v>2.6.46</x:v>
      </x:c>
      <x:c r="AA323" t="str">
        <x:v>Frete base × percentual; aplicar frete mínimo quando maior. Bloco percentual ativado; controle visual passivo.</x:v>
      </x:c>
    </x:row>
    <x:row r="324">
      <x:c r="A324" t="str">
        <x:v>REG_MF_LOBATO_SRC_0007</x:v>
      </x:c>
      <x:c r="B324" t="str">
        <x:v>MF_LOBATO</x:v>
      </x:c>
      <x:c r="C324" t="str">
        <x:v>MARAJO CARGAS LOCALIDADES</x:v>
      </x:c>
      <x:c r="D324" t="str">
        <x:v>Mocajuba</x:v>
      </x:c>
      <x:c r="E324" t="str">
        <x:v>PA</x:v>
      </x:c>
      <x:c r="F324" t="str">
        <x:v>40%</x:v>
      </x:c>
      <x:c r="G324" t="n">
        <x:v>40</x:v>
      </x:c>
      <x:c r="H324" t="str">
        <x:v>2 A 3 DIAS</x:v>
      </x:c>
      <x:c r="I324" t="str">
        <x:v>TABELA MARAJO CARGAS (MF LOBATO).pdf</x:v>
      </x:c>
      <x:c r="J324" t="str">
        <x:v>2</x:v>
      </x:c>
      <x:c r="K324" t="str">
        <x:v>REVISAR_OK</x:v>
      </x:c>
      <x:c r="L324"/>
      <x:c r="M324"/>
      <x:c r="N324" t="str">
        <x:v>01/11/2024</x:v>
      </x:c>
      <x:c r="O324" t="str">
        <x:v>Tabela Marajó Cargas/M.F. Lobato: Mocajuba 40%, taxa mínima R$40.</x:v>
      </x:c>
      <x:c r="P324" t="str">
        <x:v>ORIGINAL</x:v>
      </x:c>
      <x:c r="Q324"/>
      <x:c r="R324"/>
      <x:c r="S324"/>
      <x:c r="T324"/>
      <x:c r="U324"/>
      <x:c r="V324" t="str">
        <x:v>SIM</x:v>
      </x:c>
      <x:c r="W324" t="str">
        <x:v>M. F. LOBATO</x:v>
      </x:c>
      <x:c r="X324" t="str">
        <x:v>PERCENTUAL</x:v>
      </x:c>
      <x:c r="Y324"/>
      <x:c r="Z324" t="str">
        <x:v>2.6.46</x:v>
      </x:c>
      <x:c r="AA324" t="str">
        <x:v>Frete base × percentual; aplicar frete mínimo quando maior. Bloco percentual ativado; controle visual passivo.</x:v>
      </x:c>
    </x:row>
    <x:row r="325">
      <x:c r="A325" t="str">
        <x:v>REG_MF_LOBATO_SRC_0008</x:v>
      </x:c>
      <x:c r="B325" t="str">
        <x:v>MF_LOBATO</x:v>
      </x:c>
      <x:c r="C325" t="str">
        <x:v>MARAJO CARGAS LOCALIDADES</x:v>
      </x:c>
      <x:c r="D325" t="str">
        <x:v>Afuá</x:v>
      </x:c>
      <x:c r="E325" t="str">
        <x:v>PA</x:v>
      </x:c>
      <x:c r="F325" t="str">
        <x:v>40%</x:v>
      </x:c>
      <x:c r="G325" t="n">
        <x:v>50</x:v>
      </x:c>
      <x:c r="H325" t="str">
        <x:v>5 DIAS</x:v>
      </x:c>
      <x:c r="I325" t="str">
        <x:v>TABELA MARAJO CARGAS (MF LOBATO).pdf</x:v>
      </x:c>
      <x:c r="J325" t="str">
        <x:v>2</x:v>
      </x:c>
      <x:c r="K325" t="str">
        <x:v>REVISAR_OK</x:v>
      </x:c>
      <x:c r="L325"/>
      <x:c r="M325"/>
      <x:c r="N325" t="str">
        <x:v>01/11/2024</x:v>
      </x:c>
      <x:c r="O325" t="str">
        <x:v>Tabela Marajó Cargas/M.F. Lobato: Afuá 40%, taxa mínima R$50.</x:v>
      </x:c>
      <x:c r="P325" t="str">
        <x:v>ORIGINAL</x:v>
      </x:c>
      <x:c r="Q325"/>
      <x:c r="R325"/>
      <x:c r="S325"/>
      <x:c r="T325"/>
      <x:c r="U325"/>
      <x:c r="V325" t="str">
        <x:v>SIM</x:v>
      </x:c>
      <x:c r="W325" t="str">
        <x:v>M. F. LOBATO</x:v>
      </x:c>
      <x:c r="X325" t="str">
        <x:v>PERCENTUAL</x:v>
      </x:c>
      <x:c r="Y325"/>
      <x:c r="Z325" t="str">
        <x:v>2.6.46</x:v>
      </x:c>
      <x:c r="AA325" t="str">
        <x:v>Frete base × percentual; aplicar frete mínimo quando maior. Bloco percentual ativado; controle visual passivo.</x:v>
      </x:c>
    </x:row>
    <x:row r="326">
      <x:c r="A326" t="str">
        <x:v>REG_MF_LOBATO_SRC_0009</x:v>
      </x:c>
      <x:c r="B326" t="str">
        <x:v>MF_LOBATO</x:v>
      </x:c>
      <x:c r="C326" t="str">
        <x:v>MARAJO CARGAS LOCALIDADES</x:v>
      </x:c>
      <x:c r="D326" t="str">
        <x:v>Chaves</x:v>
      </x:c>
      <x:c r="E326" t="str">
        <x:v>PA</x:v>
      </x:c>
      <x:c r="F326" t="str">
        <x:v>40%</x:v>
      </x:c>
      <x:c r="G326" t="n">
        <x:v>50</x:v>
      </x:c>
      <x:c r="H326" t="str">
        <x:v>7 DIAS</x:v>
      </x:c>
      <x:c r="I326" t="str">
        <x:v>TABELA MARAJO CARGAS (MF LOBATO).pdf</x:v>
      </x:c>
      <x:c r="J326" t="str">
        <x:v>2</x:v>
      </x:c>
      <x:c r="K326" t="str">
        <x:v>REVISAR_OK</x:v>
      </x:c>
      <x:c r="L326"/>
      <x:c r="M326"/>
      <x:c r="N326" t="str">
        <x:v>01/11/2024</x:v>
      </x:c>
      <x:c r="O326" t="str">
        <x:v>Tabela Marajó Cargas/M.F. Lobato: Chaves 40%, taxa mínima R$50.</x:v>
      </x:c>
      <x:c r="P326" t="str">
        <x:v>ORIGINAL</x:v>
      </x:c>
      <x:c r="Q326"/>
      <x:c r="R326"/>
      <x:c r="S326"/>
      <x:c r="T326"/>
      <x:c r="U326"/>
      <x:c r="V326" t="str">
        <x:v>SIM</x:v>
      </x:c>
      <x:c r="W326" t="str">
        <x:v>M. F. LOBATO</x:v>
      </x:c>
      <x:c r="X326" t="str">
        <x:v>PERCENTUAL</x:v>
      </x:c>
      <x:c r="Y326"/>
      <x:c r="Z326" t="str">
        <x:v>2.6.46</x:v>
      </x:c>
      <x:c r="AA326" t="str">
        <x:v>Frete base × percentual; aplicar frete mínimo quando maior. Bloco percentual ativado; controle visual passivo.</x:v>
      </x:c>
    </x:row>
    <x:row r="327">
      <x:c r="A327" t="str">
        <x:v>REG_MF_LOBATO_SRC_0010</x:v>
      </x:c>
      <x:c r="B327" t="str">
        <x:v>MF_LOBATO</x:v>
      </x:c>
      <x:c r="C327" t="str">
        <x:v>MARAJO CARGAS LOCALIDADES</x:v>
      </x:c>
      <x:c r="D327" t="str">
        <x:v>Almeirim</x:v>
      </x:c>
      <x:c r="E327" t="str">
        <x:v>PA</x:v>
      </x:c>
      <x:c r="F327" t="str">
        <x:v>40%</x:v>
      </x:c>
      <x:c r="G327" t="n">
        <x:v>40</x:v>
      </x:c>
      <x:c r="H327" t="str">
        <x:v>3 A 4 DIAS</x:v>
      </x:c>
      <x:c r="I327" t="str">
        <x:v>TABELA MARAJO CARGAS (MF LOBATO).pdf</x:v>
      </x:c>
      <x:c r="J327" t="str">
        <x:v>2</x:v>
      </x:c>
      <x:c r="K327" t="str">
        <x:v>REVISAR_OK</x:v>
      </x:c>
      <x:c r="L327"/>
      <x:c r="M327"/>
      <x:c r="N327" t="str">
        <x:v>01/11/2024</x:v>
      </x:c>
      <x:c r="O327" t="str">
        <x:v>Tabela Marajó Cargas/M.F. Lobato: Almeirim 40%, taxa mínima R$40.</x:v>
      </x:c>
      <x:c r="P327" t="str">
        <x:v>ORIGINAL</x:v>
      </x:c>
      <x:c r="Q327"/>
      <x:c r="R327"/>
      <x:c r="S327"/>
      <x:c r="T327"/>
      <x:c r="U327"/>
      <x:c r="V327" t="str">
        <x:v>SIM</x:v>
      </x:c>
      <x:c r="W327" t="str">
        <x:v>M. F. LOBATO</x:v>
      </x:c>
      <x:c r="X327" t="str">
        <x:v>PERCENTUAL</x:v>
      </x:c>
      <x:c r="Y327"/>
      <x:c r="Z327" t="str">
        <x:v>2.6.46</x:v>
      </x:c>
      <x:c r="AA327" t="str">
        <x:v>Frete base × percentual; aplicar frete mínimo quando maior. Bloco percentual ativado; controle visual passivo.</x:v>
      </x:c>
    </x:row>
    <x:row r="328">
      <x:c r="A328" t="str">
        <x:v>REG_MF_LOBATO_SRC_0011</x:v>
      </x:c>
      <x:c r="B328" t="str">
        <x:v>MF_LOBATO</x:v>
      </x:c>
      <x:c r="C328" t="str">
        <x:v>MARAJO CARGAS LOCALIDADES</x:v>
      </x:c>
      <x:c r="D328" t="str">
        <x:v>Bagre</x:v>
      </x:c>
      <x:c r="E328" t="str">
        <x:v>PA</x:v>
      </x:c>
      <x:c r="F328" t="str">
        <x:v>40%</x:v>
      </x:c>
      <x:c r="G328" t="n">
        <x:v>40</x:v>
      </x:c>
      <x:c r="H328" t="str">
        <x:v>2 A 3 DIAS</x:v>
      </x:c>
      <x:c r="I328" t="str">
        <x:v>TABELA MARAJO CARGAS (MF LOBATO).pdf</x:v>
      </x:c>
      <x:c r="J328" t="str">
        <x:v>2</x:v>
      </x:c>
      <x:c r="K328" t="str">
        <x:v>REVISAR_OK</x:v>
      </x:c>
      <x:c r="L328"/>
      <x:c r="M328"/>
      <x:c r="N328" t="str">
        <x:v>01/11/2024</x:v>
      </x:c>
      <x:c r="O328" t="str">
        <x:v>Tabela Marajó Cargas/M.F. Lobato: Bagre 40%, taxa mínima R$40.</x:v>
      </x:c>
      <x:c r="P328" t="str">
        <x:v>ORIGINAL</x:v>
      </x:c>
      <x:c r="Q328"/>
      <x:c r="R328"/>
      <x:c r="S328"/>
      <x:c r="T328"/>
      <x:c r="U328"/>
      <x:c r="V328" t="str">
        <x:v>SIM</x:v>
      </x:c>
      <x:c r="W328" t="str">
        <x:v>M. F. LOBATO</x:v>
      </x:c>
      <x:c r="X328" t="str">
        <x:v>PERCENTUAL</x:v>
      </x:c>
      <x:c r="Y328"/>
      <x:c r="Z328" t="str">
        <x:v>2.6.46</x:v>
      </x:c>
      <x:c r="AA328" t="str">
        <x:v>Frete base × percentual; aplicar frete mínimo quando maior. Bloco percentual ativado; controle visual passivo.</x:v>
      </x:c>
    </x:row>
    <x:row r="329">
      <x:c r="A329" t="str">
        <x:v>REG_MF_LOBATO_SRC_0012</x:v>
      </x:c>
      <x:c r="B329" t="str">
        <x:v>MF_LOBATO</x:v>
      </x:c>
      <x:c r="C329" t="str">
        <x:v>MARAJO CARGAS LOCALIDADES</x:v>
      </x:c>
      <x:c r="D329" t="str">
        <x:v>Anajás</x:v>
      </x:c>
      <x:c r="E329" t="str">
        <x:v>PA</x:v>
      </x:c>
      <x:c r="F329" t="str">
        <x:v>40%</x:v>
      </x:c>
      <x:c r="G329" t="n">
        <x:v>40</x:v>
      </x:c>
      <x:c r="H329" t="str">
        <x:v>3 A 4 DIAS</x:v>
      </x:c>
      <x:c r="I329" t="str">
        <x:v>TABELA MARAJO CARGAS (MF LOBATO).pdf</x:v>
      </x:c>
      <x:c r="J329" t="str">
        <x:v>2</x:v>
      </x:c>
      <x:c r="K329" t="str">
        <x:v>REVISAR_OK</x:v>
      </x:c>
      <x:c r="L329"/>
      <x:c r="M329"/>
      <x:c r="N329" t="str">
        <x:v>01/11/2024</x:v>
      </x:c>
      <x:c r="O329" t="str">
        <x:v>Tabela Marajó Cargas/M.F. Lobato: Anajás 40%, taxa mínima R$40.</x:v>
      </x:c>
      <x:c r="P329" t="str">
        <x:v>ORIGINAL</x:v>
      </x:c>
      <x:c r="Q329"/>
      <x:c r="R329"/>
      <x:c r="S329"/>
      <x:c r="T329"/>
      <x:c r="U329"/>
      <x:c r="V329" t="str">
        <x:v>SIM</x:v>
      </x:c>
      <x:c r="W329" t="str">
        <x:v>M. F. LOBATO</x:v>
      </x:c>
      <x:c r="X329" t="str">
        <x:v>PERCENTUAL</x:v>
      </x:c>
      <x:c r="Y329"/>
      <x:c r="Z329" t="str">
        <x:v>2.6.46</x:v>
      </x:c>
      <x:c r="AA329" t="str">
        <x:v>Frete base × percentual; aplicar frete mínimo quando maior. Bloco percentual ativado; controle visual passivo.</x:v>
      </x:c>
    </x:row>
    <x:row r="330">
      <x:c r="A330" t="str">
        <x:v>REG_MF_LOBATO_SRC_0013</x:v>
      </x:c>
      <x:c r="B330" t="str">
        <x:v>MF_LOBATO</x:v>
      </x:c>
      <x:c r="C330" t="str">
        <x:v>MARAJO CARGAS LOCALIDADES</x:v>
      </x:c>
      <x:c r="D330" t="str">
        <x:v>Breves</x:v>
      </x:c>
      <x:c r="E330" t="str">
        <x:v>PA</x:v>
      </x:c>
      <x:c r="F330" t="str">
        <x:v>35%</x:v>
      </x:c>
      <x:c r="G330" t="n">
        <x:v>40</x:v>
      </x:c>
      <x:c r="H330" t="str">
        <x:v>1 A 2 DIAS</x:v>
      </x:c>
      <x:c r="I330" t="str">
        <x:v>TABELA MARAJO CARGAS (MF LOBATO).pdf</x:v>
      </x:c>
      <x:c r="J330" t="str">
        <x:v>2</x:v>
      </x:c>
      <x:c r="K330" t="str">
        <x:v>REVISAR_OK</x:v>
      </x:c>
      <x:c r="L330"/>
      <x:c r="M330"/>
      <x:c r="N330" t="str">
        <x:v>01/11/2024</x:v>
      </x:c>
      <x:c r="O330" t="str">
        <x:v>Tabela Marajó Cargas/M.F. Lobato: Breves 35%, taxa mínima R$40.</x:v>
      </x:c>
      <x:c r="P330" t="str">
        <x:v>ORIGINAL</x:v>
      </x:c>
      <x:c r="Q330"/>
      <x:c r="R330"/>
      <x:c r="S330"/>
      <x:c r="T330"/>
      <x:c r="U330"/>
      <x:c r="V330" t="str">
        <x:v>SIM</x:v>
      </x:c>
      <x:c r="W330" t="str">
        <x:v>M. F. LOBATO</x:v>
      </x:c>
      <x:c r="X330" t="str">
        <x:v>PERCENTUAL</x:v>
      </x:c>
      <x:c r="Y330"/>
      <x:c r="Z330" t="str">
        <x:v>2.6.46</x:v>
      </x:c>
      <x:c r="AA330" t="str">
        <x:v>Frete base × percentual; aplicar frete mínimo quando maior. Bloco percentual ativado; controle visual passivo.</x:v>
      </x:c>
    </x:row>
    <x:row r="331">
      <x:c r="A331" t="str">
        <x:v>REG_MF_LOBATO_SRC_0014</x:v>
      </x:c>
      <x:c r="B331" t="str">
        <x:v>MF_LOBATO</x:v>
      </x:c>
      <x:c r="C331" t="str">
        <x:v>MARAJO CARGAS LOCALIDADES</x:v>
      </x:c>
      <x:c r="D331" t="str">
        <x:v>Cachoeira do Arari</x:v>
      </x:c>
      <x:c r="E331" t="str">
        <x:v>PA</x:v>
      </x:c>
      <x:c r="F331" t="str">
        <x:v>45%</x:v>
      </x:c>
      <x:c r="G331" t="n">
        <x:v>40</x:v>
      </x:c>
      <x:c r="H331" t="str">
        <x:v>1 A 2 DIAS</x:v>
      </x:c>
      <x:c r="I331" t="str">
        <x:v>TABELA MARAJO CARGAS (MF LOBATO).pdf</x:v>
      </x:c>
      <x:c r="J331" t="str">
        <x:v>2</x:v>
      </x:c>
      <x:c r="K331" t="str">
        <x:v>REVISAR_OK</x:v>
      </x:c>
      <x:c r="L331"/>
      <x:c r="M331"/>
      <x:c r="N331" t="str">
        <x:v>01/11/2024</x:v>
      </x:c>
      <x:c r="O331" t="str">
        <x:v>Tabela Marajó Cargas/M.F. Lobato: Cachoeira do Arari 45%, taxa mínima R$40.</x:v>
      </x:c>
      <x:c r="P331" t="str">
        <x:v>ORIGINAL</x:v>
      </x:c>
      <x:c r="Q331"/>
      <x:c r="R331"/>
      <x:c r="S331"/>
      <x:c r="T331"/>
      <x:c r="U331"/>
      <x:c r="V331" t="str">
        <x:v>SIM</x:v>
      </x:c>
      <x:c r="W331" t="str">
        <x:v>M. F. LOBATO</x:v>
      </x:c>
      <x:c r="X331" t="str">
        <x:v>PERCENTUAL</x:v>
      </x:c>
      <x:c r="Y331"/>
      <x:c r="Z331" t="str">
        <x:v>2.6.46</x:v>
      </x:c>
      <x:c r="AA331" t="str">
        <x:v>Frete base × percentual; aplicar frete mínimo quando maior. Bloco percentual ativado; controle visual passivo.</x:v>
      </x:c>
    </x:row>
    <x:row r="332">
      <x:c r="A332" t="str">
        <x:v>REG_MF_LOBATO_SRC_0015</x:v>
      </x:c>
      <x:c r="B332" t="str">
        <x:v>MF_LOBATO</x:v>
      </x:c>
      <x:c r="C332" t="str">
        <x:v>MARAJO CARGAS LOCALIDADES</x:v>
      </x:c>
      <x:c r="D332" t="str">
        <x:v>Curralinho</x:v>
      </x:c>
      <x:c r="E332" t="str">
        <x:v>PA</x:v>
      </x:c>
      <x:c r="F332" t="str">
        <x:v>45%</x:v>
      </x:c>
      <x:c r="G332" t="n">
        <x:v>40</x:v>
      </x:c>
      <x:c r="H332" t="str">
        <x:v>1 A 2 DIAS</x:v>
      </x:c>
      <x:c r="I332" t="str">
        <x:v>TABELA MARAJO CARGAS (MF LOBATO).pdf</x:v>
      </x:c>
      <x:c r="J332" t="str">
        <x:v>2</x:v>
      </x:c>
      <x:c r="K332" t="str">
        <x:v>REVISAR_OK</x:v>
      </x:c>
      <x:c r="L332"/>
      <x:c r="M332"/>
      <x:c r="N332" t="str">
        <x:v>01/11/2024</x:v>
      </x:c>
      <x:c r="O332" t="str">
        <x:v>Tabela Marajó Cargas/M.F. Lobato: Curralinho 45%, taxa mínima R$40.</x:v>
      </x:c>
      <x:c r="P332" t="str">
        <x:v>ORIGINAL</x:v>
      </x:c>
      <x:c r="Q332"/>
      <x:c r="R332"/>
      <x:c r="S332"/>
      <x:c r="T332"/>
      <x:c r="U332"/>
      <x:c r="V332" t="str">
        <x:v>SIM</x:v>
      </x:c>
      <x:c r="W332" t="str">
        <x:v>M. F. LOBATO</x:v>
      </x:c>
      <x:c r="X332" t="str">
        <x:v>PERCENTUAL</x:v>
      </x:c>
      <x:c r="Y332"/>
      <x:c r="Z332" t="str">
        <x:v>2.6.46</x:v>
      </x:c>
      <x:c r="AA332" t="str">
        <x:v>Frete base × percentual; aplicar frete mínimo quando maior. Bloco percentual ativado; controle visual passivo.</x:v>
      </x:c>
    </x:row>
    <x:row r="333">
      <x:c r="A333" t="str">
        <x:v>REG_MF_LOBATO_SRC_0017</x:v>
      </x:c>
      <x:c r="B333" t="str">
        <x:v>MF_LOBATO</x:v>
      </x:c>
      <x:c r="C333" t="str">
        <x:v>MARAJO CARGAS LOCALIDADES</x:v>
      </x:c>
      <x:c r="D333" t="str">
        <x:v>Melgaço</x:v>
      </x:c>
      <x:c r="E333" t="str">
        <x:v>PA</x:v>
      </x:c>
      <x:c r="F333" t="str">
        <x:v>40%</x:v>
      </x:c>
      <x:c r="G333" t="n">
        <x:v>40</x:v>
      </x:c>
      <x:c r="H333" t="str">
        <x:v>3 A 4 DIAS</x:v>
      </x:c>
      <x:c r="I333" t="str">
        <x:v>TABELA MARAJO CARGAS (MF LOBATO).pdf</x:v>
      </x:c>
      <x:c r="J333" t="str">
        <x:v>2</x:v>
      </x:c>
      <x:c r="K333" t="str">
        <x:v>REVISAR_OK</x:v>
      </x:c>
      <x:c r="L333"/>
      <x:c r="M333"/>
      <x:c r="N333" t="str">
        <x:v>01/11/2024</x:v>
      </x:c>
      <x:c r="O333" t="str">
        <x:v>Tabela Marajó Cargas/M.F. Lobato: Melgaço 40%, taxa mínima R$40.</x:v>
      </x:c>
      <x:c r="P333" t="str">
        <x:v>ORIGINAL</x:v>
      </x:c>
      <x:c r="Q333"/>
      <x:c r="R333"/>
      <x:c r="S333"/>
      <x:c r="T333"/>
      <x:c r="U333"/>
      <x:c r="V333" t="str">
        <x:v>SIM</x:v>
      </x:c>
      <x:c r="W333" t="str">
        <x:v>M. F. LOBATO</x:v>
      </x:c>
      <x:c r="X333" t="str">
        <x:v>PERCENTUAL</x:v>
      </x:c>
      <x:c r="Y333"/>
      <x:c r="Z333" t="str">
        <x:v>2.6.46</x:v>
      </x:c>
      <x:c r="AA333" t="str">
        <x:v>Frete base × percentual; aplicar frete mínimo quando maior. Bloco percentual ativado; controle visual passivo.</x:v>
      </x:c>
    </x:row>
    <x:row r="334">
      <x:c r="A334" t="str">
        <x:v>REG_MF_LOBATO_SRC_0018</x:v>
      </x:c>
      <x:c r="B334" t="str">
        <x:v>MF_LOBATO</x:v>
      </x:c>
      <x:c r="C334" t="str">
        <x:v>MARAJO CARGAS LOCALIDADES</x:v>
      </x:c>
      <x:c r="D334" t="str">
        <x:v>Muaná</x:v>
      </x:c>
      <x:c r="E334" t="str">
        <x:v>PA</x:v>
      </x:c>
      <x:c r="F334" t="str">
        <x:v>40%</x:v>
      </x:c>
      <x:c r="G334" t="n">
        <x:v>40</x:v>
      </x:c>
      <x:c r="H334" t="str">
        <x:v>1 A 2 DIAS</x:v>
      </x:c>
      <x:c r="I334" t="str">
        <x:v>TABELA MARAJO CARGAS (MF LOBATO).pdf</x:v>
      </x:c>
      <x:c r="J334" t="str">
        <x:v>2</x:v>
      </x:c>
      <x:c r="K334" t="str">
        <x:v>REVISAR_OK</x:v>
      </x:c>
      <x:c r="L334"/>
      <x:c r="M334"/>
      <x:c r="N334" t="str">
        <x:v>01/11/2024</x:v>
      </x:c>
      <x:c r="O334" t="str">
        <x:v>Tabela Marajó Cargas/M.F. Lobato: Muaná 40%, taxa mínima R$40.</x:v>
      </x:c>
      <x:c r="P334" t="str">
        <x:v>ORIGINAL</x:v>
      </x:c>
      <x:c r="Q334"/>
      <x:c r="R334"/>
      <x:c r="S334"/>
      <x:c r="T334"/>
      <x:c r="U334"/>
      <x:c r="V334" t="str">
        <x:v>SIM</x:v>
      </x:c>
      <x:c r="W334" t="str">
        <x:v>M. F. LOBATO</x:v>
      </x:c>
      <x:c r="X334" t="str">
        <x:v>PERCENTUAL</x:v>
      </x:c>
      <x:c r="Y334"/>
      <x:c r="Z334" t="str">
        <x:v>2.6.46</x:v>
      </x:c>
      <x:c r="AA334" t="str">
        <x:v>Frete base × percentual; aplicar frete mínimo quando maior. Bloco percentual ativado; controle visual passivo.</x:v>
      </x:c>
    </x:row>
    <x:row r="335">
      <x:c r="A335" t="str">
        <x:v>REG_MF_LOBATO_SRC_0019</x:v>
      </x:c>
      <x:c r="B335" t="str">
        <x:v>MF_LOBATO</x:v>
      </x:c>
      <x:c r="C335" t="str">
        <x:v>MARAJO CARGAS LOCALIDADES</x:v>
      </x:c>
      <x:c r="D335" t="str">
        <x:v>Oeiras do Pará</x:v>
      </x:c>
      <x:c r="E335" t="str">
        <x:v>PA</x:v>
      </x:c>
      <x:c r="F335" t="str">
        <x:v>45%</x:v>
      </x:c>
      <x:c r="G335" t="n">
        <x:v>40</x:v>
      </x:c>
      <x:c r="H335" t="str">
        <x:v>1 A 2 DIAS</x:v>
      </x:c>
      <x:c r="I335" t="str">
        <x:v>TABELA MARAJO CARGAS (MF LOBATO).pdf</x:v>
      </x:c>
      <x:c r="J335" t="str">
        <x:v>2</x:v>
      </x:c>
      <x:c r="K335" t="str">
        <x:v>REVISAR_OK</x:v>
      </x:c>
      <x:c r="L335"/>
      <x:c r="M335"/>
      <x:c r="N335" t="str">
        <x:v>01/11/2024</x:v>
      </x:c>
      <x:c r="O335" t="str">
        <x:v>Tabela Marajó Cargas/M.F. Lobato: Oeiras do Pará 45%, taxa mínima R$40.</x:v>
      </x:c>
      <x:c r="P335" t="str">
        <x:v>ORIGINAL</x:v>
      </x:c>
      <x:c r="Q335"/>
      <x:c r="R335"/>
      <x:c r="S335"/>
      <x:c r="T335"/>
      <x:c r="U335"/>
      <x:c r="V335" t="str">
        <x:v>SIM</x:v>
      </x:c>
      <x:c r="W335" t="str">
        <x:v>M. F. LOBATO</x:v>
      </x:c>
      <x:c r="X335" t="str">
        <x:v>PERCENTUAL</x:v>
      </x:c>
      <x:c r="Y335"/>
      <x:c r="Z335" t="str">
        <x:v>2.6.46</x:v>
      </x:c>
      <x:c r="AA335" t="str">
        <x:v>Frete base × percentual; aplicar frete mínimo quando maior. Bloco percentual ativado; controle visual passivo.</x:v>
      </x:c>
    </x:row>
    <x:row r="336">
      <x:c r="A336" t="str">
        <x:v>REG_MF_LOBATO_SRC_0020</x:v>
      </x:c>
      <x:c r="B336" t="str">
        <x:v>MF_LOBATO</x:v>
      </x:c>
      <x:c r="C336" t="str">
        <x:v>MARAJO CARGAS LOCALIDADES</x:v>
      </x:c>
      <x:c r="D336" t="str">
        <x:v>Ponta de Pedras</x:v>
      </x:c>
      <x:c r="E336" t="str">
        <x:v>PA</x:v>
      </x:c>
      <x:c r="F336" t="str">
        <x:v>40%</x:v>
      </x:c>
      <x:c r="G336" t="n">
        <x:v>40</x:v>
      </x:c>
      <x:c r="H336" t="str">
        <x:v>1 A 2 DIAS</x:v>
      </x:c>
      <x:c r="I336" t="str">
        <x:v>TABELA MARAJO CARGAS (MF LOBATO).pdf</x:v>
      </x:c>
      <x:c r="J336" t="str">
        <x:v>2</x:v>
      </x:c>
      <x:c r="K336" t="str">
        <x:v>REVISAR_OK</x:v>
      </x:c>
      <x:c r="L336"/>
      <x:c r="M336"/>
      <x:c r="N336" t="str">
        <x:v>01/11/2024</x:v>
      </x:c>
      <x:c r="O336" t="str">
        <x:v>Tabela Marajó Cargas/M.F. Lobato: Ponta de Pedras 40%, taxa mínima R$40.</x:v>
      </x:c>
      <x:c r="P336" t="str">
        <x:v>ORIGINAL</x:v>
      </x:c>
      <x:c r="Q336"/>
      <x:c r="R336"/>
      <x:c r="S336"/>
      <x:c r="T336"/>
      <x:c r="U336"/>
      <x:c r="V336" t="str">
        <x:v>SIM</x:v>
      </x:c>
      <x:c r="W336" t="str">
        <x:v>M. F. LOBATO</x:v>
      </x:c>
      <x:c r="X336" t="str">
        <x:v>PERCENTUAL</x:v>
      </x:c>
      <x:c r="Y336"/>
      <x:c r="Z336" t="str">
        <x:v>2.6.46</x:v>
      </x:c>
      <x:c r="AA336" t="str">
        <x:v>Frete base × percentual; aplicar frete mínimo quando maior. Bloco percentual ativado; controle visual passivo.</x:v>
      </x:c>
    </x:row>
    <x:row r="337">
      <x:c r="A337" t="str">
        <x:v>REG_MF_LOBATO_SRC_0021</x:v>
      </x:c>
      <x:c r="B337" t="str">
        <x:v>MF_LOBATO</x:v>
      </x:c>
      <x:c r="C337" t="str">
        <x:v>MARAJO CARGAS LOCALIDADES</x:v>
      </x:c>
      <x:c r="D337" t="str">
        <x:v>Portel</x:v>
      </x:c>
      <x:c r="E337" t="str">
        <x:v>PA</x:v>
      </x:c>
      <x:c r="F337" t="str">
        <x:v>40%</x:v>
      </x:c>
      <x:c r="G337" t="n">
        <x:v>40</x:v>
      </x:c>
      <x:c r="H337" t="str">
        <x:v>2 A 3 DIAS</x:v>
      </x:c>
      <x:c r="I337" t="str">
        <x:v>TABELA MARAJO CARGAS (MF LOBATO).pdf</x:v>
      </x:c>
      <x:c r="J337" t="str">
        <x:v>2</x:v>
      </x:c>
      <x:c r="K337" t="str">
        <x:v>REVISAR_OK</x:v>
      </x:c>
      <x:c r="L337"/>
      <x:c r="M337"/>
      <x:c r="N337" t="str">
        <x:v>01/11/2024</x:v>
      </x:c>
      <x:c r="O337" t="str">
        <x:v>Tabela Marajó Cargas/M.F. Lobato: Portel 40%, taxa mínima R$40.</x:v>
      </x:c>
      <x:c r="P337" t="str">
        <x:v>ORIGINAL</x:v>
      </x:c>
      <x:c r="Q337"/>
      <x:c r="R337"/>
      <x:c r="S337"/>
      <x:c r="T337"/>
      <x:c r="U337"/>
      <x:c r="V337" t="str">
        <x:v>SIM</x:v>
      </x:c>
      <x:c r="W337" t="str">
        <x:v>M. F. LOBATO</x:v>
      </x:c>
      <x:c r="X337" t="str">
        <x:v>PERCENTUAL</x:v>
      </x:c>
      <x:c r="Y337"/>
      <x:c r="Z337" t="str">
        <x:v>2.6.46</x:v>
      </x:c>
      <x:c r="AA337" t="str">
        <x:v>Frete base × percentual; aplicar frete mínimo quando maior. Bloco percentual ativado; controle visual passivo.</x:v>
      </x:c>
    </x:row>
    <x:row r="338">
      <x:c r="A338" t="str">
        <x:v>REG_MF_LOBATO_SRC_0022</x:v>
      </x:c>
      <x:c r="B338" t="str">
        <x:v>MF_LOBATO</x:v>
      </x:c>
      <x:c r="C338" t="str">
        <x:v>MARAJO CARGAS LOCALIDADES</x:v>
      </x:c>
      <x:c r="D338" t="str">
        <x:v>Santa Cruz do Arari</x:v>
      </x:c>
      <x:c r="E338" t="str">
        <x:v>PA</x:v>
      </x:c>
      <x:c r="F338" t="str">
        <x:v>45%</x:v>
      </x:c>
      <x:c r="G338" t="n">
        <x:v>40</x:v>
      </x:c>
      <x:c r="H338" t="str">
        <x:v>1 A 2 DIAS</x:v>
      </x:c>
      <x:c r="I338" t="str">
        <x:v>TABELA MARAJO CARGAS (MF LOBATO).pdf</x:v>
      </x:c>
      <x:c r="J338" t="str">
        <x:v>2</x:v>
      </x:c>
      <x:c r="K338" t="str">
        <x:v>REVISAR_OK</x:v>
      </x:c>
      <x:c r="L338"/>
      <x:c r="M338"/>
      <x:c r="N338" t="str">
        <x:v>01/11/2024</x:v>
      </x:c>
      <x:c r="O338" t="str">
        <x:v>Tabela Marajó Cargas/M.F. Lobato: Santa Cruz do Arari 45%, taxa mínima R$40.</x:v>
      </x:c>
      <x:c r="P338" t="str">
        <x:v>ORIGINAL</x:v>
      </x:c>
      <x:c r="Q338"/>
      <x:c r="R338"/>
      <x:c r="S338"/>
      <x:c r="T338"/>
      <x:c r="U338"/>
      <x:c r="V338" t="str">
        <x:v>SIM</x:v>
      </x:c>
      <x:c r="W338" t="str">
        <x:v>M. F. LOBATO</x:v>
      </x:c>
      <x:c r="X338" t="str">
        <x:v>PERCENTUAL</x:v>
      </x:c>
      <x:c r="Y338"/>
      <x:c r="Z338" t="str">
        <x:v>2.6.46</x:v>
      </x:c>
      <x:c r="AA338" t="str">
        <x:v>Frete base × percentual; aplicar frete mínimo quando maior. Bloco percentual ativado; controle visual passivo.</x:v>
      </x:c>
    </x:row>
    <x:row r="339">
      <x:c r="A339" t="str">
        <x:v>REG_MF_LOBATO_SRC_0023</x:v>
      </x:c>
      <x:c r="B339" t="str">
        <x:v>MF_LOBATO</x:v>
      </x:c>
      <x:c r="C339" t="str">
        <x:v>MARAJO CARGAS LOCALIDADES</x:v>
      </x:c>
      <x:c r="D339" t="str">
        <x:v>São Sebastião da Boa Vista</x:v>
      </x:c>
      <x:c r="E339" t="str">
        <x:v>PA</x:v>
      </x:c>
      <x:c r="F339" t="str">
        <x:v>40%</x:v>
      </x:c>
      <x:c r="G339" t="n">
        <x:v>40</x:v>
      </x:c>
      <x:c r="H339" t="str">
        <x:v>1 A 2 DIAS</x:v>
      </x:c>
      <x:c r="I339" t="str">
        <x:v>TABELA MARAJO CARGAS (MF LOBATO).pdf</x:v>
      </x:c>
      <x:c r="J339" t="str">
        <x:v>2</x:v>
      </x:c>
      <x:c r="K339" t="str">
        <x:v>REVISAR_OK</x:v>
      </x:c>
      <x:c r="L339"/>
      <x:c r="M339"/>
      <x:c r="N339" t="str">
        <x:v>01/11/2024</x:v>
      </x:c>
      <x:c r="O339" t="str">
        <x:v>Tabela Marajó Cargas/M.F. Lobato: São Sebastião da Boa Vista 40%, taxa mínima R$40.</x:v>
      </x:c>
      <x:c r="P339" t="str">
        <x:v>ORIGINAL</x:v>
      </x:c>
      <x:c r="Q339"/>
      <x:c r="R339"/>
      <x:c r="S339"/>
      <x:c r="T339"/>
      <x:c r="U339"/>
      <x:c r="V339" t="str">
        <x:v>SIM</x:v>
      </x:c>
      <x:c r="W339" t="str">
        <x:v>M. F. LOBATO</x:v>
      </x:c>
      <x:c r="X339" t="str">
        <x:v>PERCENTUAL</x:v>
      </x:c>
      <x:c r="Y339"/>
      <x:c r="Z339" t="str">
        <x:v>2.6.46</x:v>
      </x:c>
      <x:c r="AA339" t="str">
        <x:v>Frete base × percentual; aplicar frete mínimo quando maior. Bloco percentual ativado; controle visual passivo.</x:v>
      </x:c>
    </x:row>
    <x:row r="340">
      <x:c r="A340" t="str">
        <x:v>REG_MF_LOBATO_SRC_0024</x:v>
      </x:c>
      <x:c r="B340" t="str">
        <x:v>MF_LOBATO</x:v>
      </x:c>
      <x:c r="C340" t="str">
        <x:v>MARAJO CARGAS LOCALIDADES</x:v>
      </x:c>
      <x:c r="D340" t="str">
        <x:v>Salvaterra</x:v>
      </x:c>
      <x:c r="E340" t="str">
        <x:v>PA</x:v>
      </x:c>
      <x:c r="F340" t="str">
        <x:v>40%</x:v>
      </x:c>
      <x:c r="G340" t="n">
        <x:v>40</x:v>
      </x:c>
      <x:c r="H340" t="str">
        <x:v>1 A 2 DIAS</x:v>
      </x:c>
      <x:c r="I340" t="str">
        <x:v>TABELA MARAJO CARGAS (MF LOBATO).pdf</x:v>
      </x:c>
      <x:c r="J340" t="str">
        <x:v>2</x:v>
      </x:c>
      <x:c r="K340" t="str">
        <x:v>REVISAR_OK</x:v>
      </x:c>
      <x:c r="L340"/>
      <x:c r="M340"/>
      <x:c r="N340" t="str">
        <x:v>01/11/2024</x:v>
      </x:c>
      <x:c r="O340" t="str">
        <x:v>Tabela Marajó Cargas/M.F. Lobato: Salvaterra 40%, taxa mínima R$40.</x:v>
      </x:c>
      <x:c r="P340" t="str">
        <x:v>ORIGINAL</x:v>
      </x:c>
      <x:c r="Q340"/>
      <x:c r="R340"/>
      <x:c r="S340"/>
      <x:c r="T340"/>
      <x:c r="U340"/>
      <x:c r="V340" t="str">
        <x:v>SIM</x:v>
      </x:c>
      <x:c r="W340" t="str">
        <x:v>M. F. LOBATO</x:v>
      </x:c>
      <x:c r="X340" t="str">
        <x:v>PERCENTUAL</x:v>
      </x:c>
      <x:c r="Y340"/>
      <x:c r="Z340" t="str">
        <x:v>2.6.46</x:v>
      </x:c>
      <x:c r="AA340" t="str">
        <x:v>Frete base × percentual; aplicar frete mínimo quando maior. Bloco percentual ativado; controle visual passivo.</x:v>
      </x:c>
    </x:row>
    <x:row r="341">
      <x:c r="A341" t="str">
        <x:v>REG_MF_LOBATO_SRC_0025</x:v>
      </x:c>
      <x:c r="B341" t="str">
        <x:v>MF_LOBATO</x:v>
      </x:c>
      <x:c r="C341" t="str">
        <x:v>MARAJO CARGAS LOCALIDADES</x:v>
      </x:c>
      <x:c r="D341" t="str">
        <x:v>Soure</x:v>
      </x:c>
      <x:c r="E341" t="str">
        <x:v>PA</x:v>
      </x:c>
      <x:c r="F341" t="str">
        <x:v>40%</x:v>
      </x:c>
      <x:c r="G341" t="n">
        <x:v>40</x:v>
      </x:c>
      <x:c r="H341" t="str">
        <x:v>1 A 2 DIAS</x:v>
      </x:c>
      <x:c r="I341" t="str">
        <x:v>TABELA MARAJO CARGAS (MF LOBATO).pdf</x:v>
      </x:c>
      <x:c r="J341" t="str">
        <x:v>2</x:v>
      </x:c>
      <x:c r="K341" t="str">
        <x:v>REVISAR_OK</x:v>
      </x:c>
      <x:c r="L341"/>
      <x:c r="M341"/>
      <x:c r="N341" t="str">
        <x:v>01/11/2024</x:v>
      </x:c>
      <x:c r="O341" t="str">
        <x:v>Tabela Marajó Cargas/M.F. Lobato: Soure 40%, taxa mínima R$40.</x:v>
      </x:c>
      <x:c r="P341" t="str">
        <x:v>ORIGINAL</x:v>
      </x:c>
      <x:c r="Q341"/>
      <x:c r="R341"/>
      <x:c r="S341"/>
      <x:c r="T341"/>
      <x:c r="U341"/>
      <x:c r="V341" t="str">
        <x:v>SIM</x:v>
      </x:c>
      <x:c r="W341" t="str">
        <x:v>M. F. LOBATO</x:v>
      </x:c>
      <x:c r="X341" t="str">
        <x:v>PERCENTUAL</x:v>
      </x:c>
      <x:c r="Y341"/>
      <x:c r="Z341" t="str">
        <x:v>2.6.46</x:v>
      </x:c>
      <x:c r="AA341" t="str">
        <x:v>Frete base × percentual; aplicar frete mínimo quando maior. Bloco percentual ativado; controle visual passivo.</x:v>
      </x:c>
    </x:row>
    <x:row r="342">
      <x:c r="A342" t="str">
        <x:v>REG_MF_LOBATO_SRC_0026</x:v>
      </x:c>
      <x:c r="B342" t="str">
        <x:v>MF_LOBATO</x:v>
      </x:c>
      <x:c r="C342" t="str">
        <x:v>MARAJO CARGAS LOCALIDADES</x:v>
      </x:c>
      <x:c r="D342" t="str">
        <x:v>Vila Munguba</x:v>
      </x:c>
      <x:c r="E342" t="str">
        <x:v>PA</x:v>
      </x:c>
      <x:c r="F342" t="str">
        <x:v>35%</x:v>
      </x:c>
      <x:c r="G342" t="n">
        <x:v>40</x:v>
      </x:c>
      <x:c r="H342" t="str">
        <x:v>3 A 4 DIAS</x:v>
      </x:c>
      <x:c r="I342" t="str">
        <x:v>TABELA MARAJO CARGAS (MF LOBATO).pdf</x:v>
      </x:c>
      <x:c r="J342" t="str">
        <x:v>2</x:v>
      </x:c>
      <x:c r="K342" t="str">
        <x:v>REVISAR_OK</x:v>
      </x:c>
      <x:c r="L342"/>
      <x:c r="M342"/>
      <x:c r="N342" t="str">
        <x:v>01/11/2024</x:v>
      </x:c>
      <x:c r="O342" t="str">
        <x:v>Tabela Marajó Cargas/M.F. Lobato: Vila Munguba 35%, taxa mínima R$40.</x:v>
      </x:c>
      <x:c r="P342" t="str">
        <x:v>ORIGINAL</x:v>
      </x:c>
      <x:c r="Q342"/>
      <x:c r="R342"/>
      <x:c r="S342"/>
      <x:c r="T342"/>
      <x:c r="U342"/>
      <x:c r="V342" t="str">
        <x:v>SIM</x:v>
      </x:c>
      <x:c r="W342" t="str">
        <x:v>M. F. LOBATO</x:v>
      </x:c>
      <x:c r="X342" t="str">
        <x:v>PERCENTUAL</x:v>
      </x:c>
      <x:c r="Y342"/>
      <x:c r="Z342" t="str">
        <x:v>2.6.46</x:v>
      </x:c>
      <x:c r="AA342" t="str">
        <x:v>Frete base × percentual; aplicar frete mínimo quando maior. Bloco percentual ativado; controle visual passivo.</x:v>
      </x:c>
    </x:row>
    <x:row r="343">
      <x:c r="A343" t="str">
        <x:v>REG_MF_LOBATO_SRC_0027</x:v>
      </x:c>
      <x:c r="B343" t="str">
        <x:v>MF_LOBATO</x:v>
      </x:c>
      <x:c r="C343" t="str">
        <x:v>MARAJO CARGAS LOCALIDADES</x:v>
      </x:c>
      <x:c r="D343" t="str">
        <x:v>Porto de Moz</x:v>
      </x:c>
      <x:c r="E343" t="str">
        <x:v>PA</x:v>
      </x:c>
      <x:c r="F343" t="str">
        <x:v>40%</x:v>
      </x:c>
      <x:c r="G343" t="n">
        <x:v>50</x:v>
      </x:c>
      <x:c r="H343" t="str">
        <x:v>3 A 4 DIAS</x:v>
      </x:c>
      <x:c r="I343" t="str">
        <x:v>TABELA MARAJO CARGAS (MF LOBATO).pdf</x:v>
      </x:c>
      <x:c r="J343" t="str">
        <x:v>2</x:v>
      </x:c>
      <x:c r="K343" t="str">
        <x:v>REVISAR_OK</x:v>
      </x:c>
      <x:c r="L343"/>
      <x:c r="M343"/>
      <x:c r="N343" t="str">
        <x:v>01/11/2024</x:v>
      </x:c>
      <x:c r="O343" t="str">
        <x:v>Tabela Marajó Cargas/M.F. Lobato: Porto de Moz 40%, taxa mínima R$50.</x:v>
      </x:c>
      <x:c r="P343" t="str">
        <x:v>ORIGINAL</x:v>
      </x:c>
      <x:c r="Q343"/>
      <x:c r="R343"/>
      <x:c r="S343"/>
      <x:c r="T343"/>
      <x:c r="U343"/>
      <x:c r="V343" t="str">
        <x:v>SIM</x:v>
      </x:c>
      <x:c r="W343" t="str">
        <x:v>M. F. LOBATO</x:v>
      </x:c>
      <x:c r="X343" t="str">
        <x:v>PERCENTUAL</x:v>
      </x:c>
      <x:c r="Y343"/>
      <x:c r="Z343" t="str">
        <x:v>2.6.46</x:v>
      </x:c>
      <x:c r="AA343" t="str">
        <x:v>Frete base × percentual; aplicar frete mínimo quando maior. Bloco percentual ativado; controle visual passivo.</x:v>
      </x:c>
    </x:row>
    <x:row r="344">
      <x:c r="A344" t="str">
        <x:v>REG_MF_LOBATO_SRC_0028</x:v>
      </x:c>
      <x:c r="B344" t="str">
        <x:v>MF_LOBATO</x:v>
      </x:c>
      <x:c r="C344" t="str">
        <x:v>MARAJO CARGAS LOCALIDADES</x:v>
      </x:c>
      <x:c r="D344" t="str">
        <x:v>Senador José Porfírio</x:v>
      </x:c>
      <x:c r="E344" t="str">
        <x:v>PA</x:v>
      </x:c>
      <x:c r="F344" t="str">
        <x:v>7%</x:v>
      </x:c>
      <x:c r="G344" t="n">
        <x:v>150</x:v>
      </x:c>
      <x:c r="H344" t="str">
        <x:v>3 A 4 DIAS</x:v>
      </x:c>
      <x:c r="I344" t="str">
        <x:v>TABELA MARAJO CARGAS (MF LOBATO).pdf</x:v>
      </x:c>
      <x:c r="J344" t="str">
        <x:v>1</x:v>
      </x:c>
      <x:c r="K344" t="str">
        <x:v>REVISAR_OK</x:v>
      </x:c>
      <x:c r="L344"/>
      <x:c r="M344"/>
      <x:c r="N344" t="str">
        <x:v>11/03/2026</x:v>
      </x:c>
      <x:c r="O344" t="str">
        <x:v>Regra RE9070 mais recente: Senador José Porfírio 7% sobre o valor da mercadoria, com mínimo de R$150,00. Substitui a regra antiga de 45% sobre o frete original.</x:v>
      </x:c>
      <x:c r="P344" t="str">
        <x:v>MERCADORIA</x:v>
      </x:c>
      <x:c r="Q344"/>
      <x:c r="R344"/>
      <x:c r="S344"/>
      <x:c r="T344"/>
      <x:c r="U344"/>
      <x:c r="V344" t="str">
        <x:v>SIM</x:v>
      </x:c>
      <x:c r="W344" t="str">
        <x:v>M. F. LOBATO</x:v>
      </x:c>
      <x:c r="X344" t="str">
        <x:v>PERCENTUAL_MERCADORIA</x:v>
      </x:c>
      <x:c r="Y344"/>
      <x:c r="Z344" t="str">
        <x:v>2.7.0 RC12</x:v>
      </x:c>
      <x:c r="AA344" t="str">
        <x:v>Valor esperado = maior entre 7% do valor da mercadoria e R$150,00. Regra mais recente da proposta de 11/03/2026.</x:v>
      </x:c>
    </x:row>
    <x:row r="345">
      <x:c r="A345" t="str">
        <x:v>REG_MILAYDE_SRC_0002</x:v>
      </x:c>
      <x:c r="B345" t="str">
        <x:v>MILAYDE_LOBATO</x:v>
      </x:c>
      <x:c r="C345" t="str">
        <x:v>ORIGEM ANANINDEUA</x:v>
      </x:c>
      <x:c r="D345" t="str">
        <x:v>Monte Alegre</x:v>
      </x:c>
      <x:c r="E345" t="str">
        <x:v>PA</x:v>
      </x:c>
      <x:c r="F345" t="str">
        <x:v>35%</x:v>
      </x:c>
      <x:c r="G345" t="n">
        <x:v>92</x:v>
      </x:c>
      <x:c r="H345" t="str">
        <x:v>8 a 10 dias / revisar</x:v>
      </x:c>
      <x:c r="I345" t="str">
        <x:v>TABELA MILAYDE PATRICIA.pdf</x:v>
      </x:c>
      <x:c r="J345" t="str">
        <x:v>1</x:v>
      </x:c>
      <x:c r="K345" t="str">
        <x:v>REVISAR_OK</x:v>
      </x:c>
      <x:c r="L345"/>
      <x:c r="M345"/>
      <x:c r="N345" t="str">
        <x:v>13/05/2026</x:v>
      </x:c>
      <x:c r="O345" t="str">
        <x:v>MILAYDE = FÊNIX confirmado pelo usuário. Regra Fênix aplicada ao CNPJ Milayde; gatilho por kg não automatizado nesta etapa.</x:v>
      </x:c>
      <x:c r="P345" t="str">
        <x:v>ORIGINAL</x:v>
      </x:c>
      <x:c r="Q345"/>
      <x:c r="R345"/>
      <x:c r="S345"/>
      <x:c r="T345"/>
      <x:c r="U345"/>
      <x:c r="V345" t="str">
        <x:v>SIM</x:v>
      </x:c>
      <x:c r="W345" t="str">
        <x:v>MILAYDE</x:v>
      </x:c>
      <x:c r="X345" t="str">
        <x:v>PERCENTUAL</x:v>
      </x:c>
      <x:c r="Y345"/>
      <x:c r="Z345" t="str">
        <x:v>2.6.46</x:v>
      </x:c>
      <x:c r="AA345" t="str">
        <x:v>Frete base × percentual; aplicar frete mínimo quando maior. Bloco percentual ativado; controle visual passivo. Obs.: frete gatilho por kg citado na fonte não automatizado nesta etapa.</x:v>
      </x:c>
    </x:row>
    <x:row r="346">
      <x:c r="A346" t="str">
        <x:v>REG_MILAYDE_SRC_0005</x:v>
      </x:c>
      <x:c r="B346" t="str">
        <x:v>MILAYDE_LOBATO</x:v>
      </x:c>
      <x:c r="C346" t="str">
        <x:v>ORIGEM ANANINDEUA</x:v>
      </x:c>
      <x:c r="D346" t="str">
        <x:v>Alenquer</x:v>
      </x:c>
      <x:c r="E346" t="str">
        <x:v>PA</x:v>
      </x:c>
      <x:c r="F346" t="str">
        <x:v>40%</x:v>
      </x:c>
      <x:c r="G346" t="n">
        <x:v>138</x:v>
      </x:c>
      <x:c r="H346" t="str">
        <x:v>8 a 10 dias / revisar</x:v>
      </x:c>
      <x:c r="I346" t="str">
        <x:v>TABELA MILAYDE PATRICIA.pdf</x:v>
      </x:c>
      <x:c r="J346" t="str">
        <x:v>1</x:v>
      </x:c>
      <x:c r="K346" t="str">
        <x:v>REVISAR_OK</x:v>
      </x:c>
      <x:c r="L346"/>
      <x:c r="M346"/>
      <x:c r="N346" t="str">
        <x:v>13/05/2026</x:v>
      </x:c>
      <x:c r="O346" t="str">
        <x:v>MILAYDE = FÊNIX confirmado pelo usuário. Regra Fênix aplicada ao CNPJ Milayde; gatilho por kg não automatizado nesta etapa.</x:v>
      </x:c>
      <x:c r="P346" t="str">
        <x:v>ORIGINAL</x:v>
      </x:c>
      <x:c r="Q346"/>
      <x:c r="R346"/>
      <x:c r="S346"/>
      <x:c r="T346"/>
      <x:c r="U346"/>
      <x:c r="V346" t="str">
        <x:v>SIM</x:v>
      </x:c>
      <x:c r="W346" t="str">
        <x:v>MILAYDE</x:v>
      </x:c>
      <x:c r="X346" t="str">
        <x:v>PERCENTUAL</x:v>
      </x:c>
      <x:c r="Y346"/>
      <x:c r="Z346" t="str">
        <x:v>2.6.46</x:v>
      </x:c>
      <x:c r="AA346" t="str">
        <x:v>Frete base × percentual; aplicar frete mínimo quando maior. Bloco percentual ativado; controle visual passivo. Obs.: frete gatilho por kg citado na fonte não automatizado nesta etapa.</x:v>
      </x:c>
    </x:row>
    <x:row r="347">
      <x:c r="A347" t="str">
        <x:v>REG_MILAYDE_SRC_0006</x:v>
      </x:c>
      <x:c r="B347" t="str">
        <x:v>MILAYDE_LOBATO</x:v>
      </x:c>
      <x:c r="C347" t="str">
        <x:v>ORIGEM ANANINDEUA</x:v>
      </x:c>
      <x:c r="D347" t="str">
        <x:v>Oriximiná</x:v>
      </x:c>
      <x:c r="E347" t="str">
        <x:v>PA</x:v>
      </x:c>
      <x:c r="F347" t="str">
        <x:v>40%</x:v>
      </x:c>
      <x:c r="G347" t="n">
        <x:v>138</x:v>
      </x:c>
      <x:c r="H347" t="str">
        <x:v>8 a 10 dias / revisar</x:v>
      </x:c>
      <x:c r="I347" t="str">
        <x:v>TABELA MILAYDE PATRICIA.pdf</x:v>
      </x:c>
      <x:c r="J347" t="str">
        <x:v>1</x:v>
      </x:c>
      <x:c r="K347" t="str">
        <x:v>REVISAR_OK</x:v>
      </x:c>
      <x:c r="L347"/>
      <x:c r="M347"/>
      <x:c r="N347" t="str">
        <x:v>13/05/2026</x:v>
      </x:c>
      <x:c r="O347" t="str">
        <x:v>MILAYDE = FÊNIX confirmado pelo usuário. Regra Fênix aplicada ao CNPJ Milayde; gatilho por kg não automatizado nesta etapa.</x:v>
      </x:c>
      <x:c r="P347" t="str">
        <x:v>ORIGINAL</x:v>
      </x:c>
      <x:c r="Q347"/>
      <x:c r="R347"/>
      <x:c r="S347"/>
      <x:c r="T347"/>
      <x:c r="U347"/>
      <x:c r="V347" t="str">
        <x:v>SIM</x:v>
      </x:c>
      <x:c r="W347" t="str">
        <x:v>MILAYDE</x:v>
      </x:c>
      <x:c r="X347" t="str">
        <x:v>PERCENTUAL</x:v>
      </x:c>
      <x:c r="Y347"/>
      <x:c r="Z347" t="str">
        <x:v>2.6.46</x:v>
      </x:c>
      <x:c r="AA347" t="str">
        <x:v>Frete base × percentual; aplicar frete mínimo quando maior. Bloco percentual ativado; controle visual passivo. Obs.: frete gatilho por kg citado na fonte não automatizado nesta etapa.</x:v>
      </x:c>
    </x:row>
    <x:row r="348">
      <x:c r="A348" t="str">
        <x:v>REG_MILAYDE_SRC_0007</x:v>
      </x:c>
      <x:c r="B348" t="str">
        <x:v>MILAYDE_LOBATO</x:v>
      </x:c>
      <x:c r="C348" t="str">
        <x:v>ORIGEM ANANINDEUA</x:v>
      </x:c>
      <x:c r="D348" t="str">
        <x:v>Óbidos</x:v>
      </x:c>
      <x:c r="E348" t="str">
        <x:v>PA</x:v>
      </x:c>
      <x:c r="F348" t="str">
        <x:v>40%</x:v>
      </x:c>
      <x:c r="G348" t="n">
        <x:v>138</x:v>
      </x:c>
      <x:c r="H348" t="str">
        <x:v>8 a 10 dias / revisar</x:v>
      </x:c>
      <x:c r="I348" t="str">
        <x:v>TABELA MILAYDE PATRICIA.pdf</x:v>
      </x:c>
      <x:c r="J348" t="str">
        <x:v>1</x:v>
      </x:c>
      <x:c r="K348" t="str">
        <x:v>REVISAR_OK</x:v>
      </x:c>
      <x:c r="L348"/>
      <x:c r="M348"/>
      <x:c r="N348" t="str">
        <x:v>13/05/2026</x:v>
      </x:c>
      <x:c r="O348" t="str">
        <x:v>MILAYDE = FÊNIX confirmado pelo usuário. Regra Fênix aplicada ao CNPJ Milayde; gatilho por kg não automatizado nesta etapa.</x:v>
      </x:c>
      <x:c r="P348" t="str">
        <x:v>ORIGINAL</x:v>
      </x:c>
      <x:c r="Q348"/>
      <x:c r="R348"/>
      <x:c r="S348"/>
      <x:c r="T348"/>
      <x:c r="U348"/>
      <x:c r="V348" t="str">
        <x:v>SIM</x:v>
      </x:c>
      <x:c r="W348" t="str">
        <x:v>MILAYDE</x:v>
      </x:c>
      <x:c r="X348" t="str">
        <x:v>PERCENTUAL</x:v>
      </x:c>
      <x:c r="Y348"/>
      <x:c r="Z348" t="str">
        <x:v>2.6.46</x:v>
      </x:c>
      <x:c r="AA348" t="str">
        <x:v>Frete base × percentual; aplicar frete mínimo quando maior. Bloco percentual ativado; controle visual passivo. Obs.: frete gatilho por kg citado na fonte não automatizado nesta etapa.</x:v>
      </x:c>
    </x:row>
    <x:row r="349">
      <x:c r="A349" t="str">
        <x:v>REG_MILAYDE_SRC_0008</x:v>
      </x:c>
      <x:c r="B349" t="str">
        <x:v>MILAYDE_LOBATO</x:v>
      </x:c>
      <x:c r="C349" t="str">
        <x:v>ORIGEM ANANINDEUA</x:v>
      </x:c>
      <x:c r="D349" t="str">
        <x:v>Novo Progresso</x:v>
      </x:c>
      <x:c r="E349" t="str">
        <x:v>PA</x:v>
      </x:c>
      <x:c r="F349" t="str">
        <x:v>40%</x:v>
      </x:c>
      <x:c r="G349" t="n">
        <x:v>138</x:v>
      </x:c>
      <x:c r="H349" t="str">
        <x:v>8 a 10 dias / revisar</x:v>
      </x:c>
      <x:c r="I349" t="str">
        <x:v>TABELA MILAYDE PATRICIA.pdf</x:v>
      </x:c>
      <x:c r="J349" t="str">
        <x:v>1</x:v>
      </x:c>
      <x:c r="K349" t="str">
        <x:v>REVISAR_OK</x:v>
      </x:c>
      <x:c r="L349"/>
      <x:c r="M349"/>
      <x:c r="N349" t="str">
        <x:v>13/05/2026</x:v>
      </x:c>
      <x:c r="O349" t="str">
        <x:v>MILAYDE = FÊNIX confirmado pelo usuário. Regra Fênix aplicada ao CNPJ Milayde; gatilho por kg não automatizado nesta etapa.</x:v>
      </x:c>
      <x:c r="P349" t="str">
        <x:v>ORIGINAL</x:v>
      </x:c>
      <x:c r="Q349"/>
      <x:c r="R349"/>
      <x:c r="S349"/>
      <x:c r="T349"/>
      <x:c r="U349"/>
      <x:c r="V349" t="str">
        <x:v>SIM</x:v>
      </x:c>
      <x:c r="W349" t="str">
        <x:v>MILAYDE</x:v>
      </x:c>
      <x:c r="X349" t="str">
        <x:v>PERCENTUAL</x:v>
      </x:c>
      <x:c r="Y349"/>
      <x:c r="Z349" t="str">
        <x:v>2.6.46</x:v>
      </x:c>
      <x:c r="AA349" t="str">
        <x:v>Frete base × percentual; aplicar frete mínimo quando maior. Bloco percentual ativado; controle visual passivo. Obs.: frete gatilho por kg citado na fonte não automatizado nesta etapa.</x:v>
      </x:c>
    </x:row>
    <x:row r="350">
      <x:c r="A350" t="str">
        <x:v>REG_MILAYDE_SRC_0009</x:v>
      </x:c>
      <x:c r="B350" t="str">
        <x:v>MILAYDE_LOBATO</x:v>
      </x:c>
      <x:c r="C350" t="str">
        <x:v>ORIGEM ANANINDEUA</x:v>
      </x:c>
      <x:c r="D350" t="str">
        <x:v>Juruti</x:v>
      </x:c>
      <x:c r="E350" t="str">
        <x:v>PA</x:v>
      </x:c>
      <x:c r="F350" t="str">
        <x:v>40%</x:v>
      </x:c>
      <x:c r="G350" t="n">
        <x:v>138</x:v>
      </x:c>
      <x:c r="H350" t="str">
        <x:v>8 a 10 dias / revisar</x:v>
      </x:c>
      <x:c r="I350" t="str">
        <x:v>TABELA MILAYDE PATRICIA.pdf</x:v>
      </x:c>
      <x:c r="J350" t="str">
        <x:v>1</x:v>
      </x:c>
      <x:c r="K350" t="str">
        <x:v>REVISAR_OK</x:v>
      </x:c>
      <x:c r="L350"/>
      <x:c r="M350"/>
      <x:c r="N350" t="str">
        <x:v>13/05/2026</x:v>
      </x:c>
      <x:c r="O350" t="str">
        <x:v>MILAYDE = FÊNIX confirmado pelo usuário. Regra Fênix aplicada ao CNPJ Milayde; gatilho por kg não automatizado nesta etapa.</x:v>
      </x:c>
      <x:c r="P350" t="str">
        <x:v>ORIGINAL</x:v>
      </x:c>
      <x:c r="Q350"/>
      <x:c r="R350"/>
      <x:c r="S350"/>
      <x:c r="T350"/>
      <x:c r="U350"/>
      <x:c r="V350" t="str">
        <x:v>SIM</x:v>
      </x:c>
      <x:c r="W350" t="str">
        <x:v>MILAYDE</x:v>
      </x:c>
      <x:c r="X350" t="str">
        <x:v>PERCENTUAL</x:v>
      </x:c>
      <x:c r="Y350"/>
      <x:c r="Z350" t="str">
        <x:v>2.6.46</x:v>
      </x:c>
      <x:c r="AA350" t="str">
        <x:v>Frete base × percentual; aplicar frete mínimo quando maior. Bloco percentual ativado; controle visual passivo. Obs.: frete gatilho por kg citado na fonte não automatizado nesta etapa.</x:v>
      </x:c>
    </x:row>
    <x:row r="351">
      <x:c r="A351" t="str">
        <x:v>REG_MILAYDE_SRC_0010</x:v>
      </x:c>
      <x:c r="B351" t="str">
        <x:v>MILAYDE_LOBATO</x:v>
      </x:c>
      <x:c r="C351" t="str">
        <x:v>ORIGEM ANANINDEUA</x:v>
      </x:c>
      <x:c r="D351" t="str">
        <x:v>Terra Santa</x:v>
      </x:c>
      <x:c r="E351" t="str">
        <x:v>PA</x:v>
      </x:c>
      <x:c r="F351" t="str">
        <x:v>40%</x:v>
      </x:c>
      <x:c r="G351" t="n">
        <x:v>138</x:v>
      </x:c>
      <x:c r="H351" t="str">
        <x:v>8 a 10 dias / revisar</x:v>
      </x:c>
      <x:c r="I351" t="str">
        <x:v>TABELA MILAYDE PATRICIA.pdf</x:v>
      </x:c>
      <x:c r="J351" t="str">
        <x:v>1</x:v>
      </x:c>
      <x:c r="K351" t="str">
        <x:v>REVISAR_OK</x:v>
      </x:c>
      <x:c r="L351"/>
      <x:c r="M351"/>
      <x:c r="N351" t="str">
        <x:v>13/05/2026</x:v>
      </x:c>
      <x:c r="O351" t="str">
        <x:v>MILAYDE = FÊNIX confirmado pelo usuário. Regra Fênix aplicada ao CNPJ Milayde; gatilho por kg não automatizado nesta etapa.</x:v>
      </x:c>
      <x:c r="P351" t="str">
        <x:v>ORIGINAL</x:v>
      </x:c>
      <x:c r="Q351"/>
      <x:c r="R351"/>
      <x:c r="S351"/>
      <x:c r="T351"/>
      <x:c r="U351"/>
      <x:c r="V351" t="str">
        <x:v>SIM</x:v>
      </x:c>
      <x:c r="W351" t="str">
        <x:v>MILAYDE</x:v>
      </x:c>
      <x:c r="X351" t="str">
        <x:v>PERCENTUAL</x:v>
      </x:c>
      <x:c r="Y351"/>
      <x:c r="Z351" t="str">
        <x:v>2.6.46</x:v>
      </x:c>
      <x:c r="AA351" t="str">
        <x:v>Frete base × percentual; aplicar frete mínimo quando maior. Bloco percentual ativado; controle visual passivo. Obs.: frete gatilho por kg citado na fonte não automatizado nesta etapa.</x:v>
      </x:c>
    </x:row>
    <x:row r="352">
      <x:c r="A352" t="str">
        <x:v>REG_MILAYDE_SRC_0011</x:v>
      </x:c>
      <x:c r="B352" t="str">
        <x:v>MILAYDE_LOBATO</x:v>
      </x:c>
      <x:c r="C352" t="str">
        <x:v>ORIGEM ANANINDEUA</x:v>
      </x:c>
      <x:c r="D352" t="str">
        <x:v>Faro</x:v>
      </x:c>
      <x:c r="E352" t="str">
        <x:v>PA</x:v>
      </x:c>
      <x:c r="F352" t="str">
        <x:v>40%</x:v>
      </x:c>
      <x:c r="G352" t="n">
        <x:v>138</x:v>
      </x:c>
      <x:c r="H352" t="str">
        <x:v>8 a 10 dias / revisar</x:v>
      </x:c>
      <x:c r="I352" t="str">
        <x:v>TABELA MILAYDE PATRICIA.pdf</x:v>
      </x:c>
      <x:c r="J352" t="str">
        <x:v>1</x:v>
      </x:c>
      <x:c r="K352" t="str">
        <x:v>REVISAR_OK</x:v>
      </x:c>
      <x:c r="L352"/>
      <x:c r="M352"/>
      <x:c r="N352" t="str">
        <x:v>13/05/2026</x:v>
      </x:c>
      <x:c r="O352" t="str">
        <x:v>MILAYDE = FÊNIX confirmado pelo usuário. Regra Fênix aplicada ao CNPJ Milayde; gatilho por kg não automatizado nesta etapa.</x:v>
      </x:c>
      <x:c r="P352" t="str">
        <x:v>ORIGINAL</x:v>
      </x:c>
      <x:c r="Q352"/>
      <x:c r="R352"/>
      <x:c r="S352"/>
      <x:c r="T352"/>
      <x:c r="U352"/>
      <x:c r="V352" t="str">
        <x:v>SIM</x:v>
      </x:c>
      <x:c r="W352" t="str">
        <x:v>MILAYDE</x:v>
      </x:c>
      <x:c r="X352" t="str">
        <x:v>PERCENTUAL</x:v>
      </x:c>
      <x:c r="Y352"/>
      <x:c r="Z352" t="str">
        <x:v>2.6.46</x:v>
      </x:c>
      <x:c r="AA352" t="str">
        <x:v>Frete base × percentual; aplicar frete mínimo quando maior. Bloco percentual ativado; controle visual passivo. Obs.: frete gatilho por kg citado na fonte não automatizado nesta etapa.</x:v>
      </x:c>
    </x:row>
    <x:row r="353">
      <x:c r="A353" t="str">
        <x:v>REG_MILAYDE_SRC_0012</x:v>
      </x:c>
      <x:c r="B353" t="str">
        <x:v>MILAYDE_LOBATO</x:v>
      </x:c>
      <x:c r="C353" t="str">
        <x:v>ORIGEM ANANINDEUA</x:v>
      </x:c>
      <x:c r="D353" t="str">
        <x:v>Placas</x:v>
      </x:c>
      <x:c r="E353" t="str">
        <x:v>PA</x:v>
      </x:c>
      <x:c r="F353" t="str">
        <x:v>40%</x:v>
      </x:c>
      <x:c r="G353" t="n">
        <x:v>138</x:v>
      </x:c>
      <x:c r="H353" t="str">
        <x:v>8 a 10 dias / revisar</x:v>
      </x:c>
      <x:c r="I353" t="str">
        <x:v>TABELA MILAYDE PATRICIA.pdf</x:v>
      </x:c>
      <x:c r="J353" t="str">
        <x:v>1</x:v>
      </x:c>
      <x:c r="K353" t="str">
        <x:v>REVISAR_OK</x:v>
      </x:c>
      <x:c r="L353"/>
      <x:c r="M353"/>
      <x:c r="N353" t="str">
        <x:v>13/05/2026</x:v>
      </x:c>
      <x:c r="O353" t="str">
        <x:v>MILAYDE = FÊNIX confirmado pelo usuário. Regra Fênix aplicada ao CNPJ Milayde; gatilho por kg não automatizado nesta etapa.</x:v>
      </x:c>
      <x:c r="P353" t="str">
        <x:v>ORIGINAL</x:v>
      </x:c>
      <x:c r="Q353"/>
      <x:c r="R353"/>
      <x:c r="S353"/>
      <x:c r="T353"/>
      <x:c r="U353"/>
      <x:c r="V353" t="str">
        <x:v>SIM</x:v>
      </x:c>
      <x:c r="W353" t="str">
        <x:v>MILAYDE</x:v>
      </x:c>
      <x:c r="X353" t="str">
        <x:v>PERCENTUAL</x:v>
      </x:c>
      <x:c r="Y353"/>
      <x:c r="Z353" t="str">
        <x:v>2.6.46</x:v>
      </x:c>
      <x:c r="AA353" t="str">
        <x:v>Frete base × percentual; aplicar frete mínimo quando maior. Bloco percentual ativado; controle visual passivo. Obs.: frete gatilho por kg citado na fonte não automatizado nesta etapa.</x:v>
      </x:c>
    </x:row>
    <x:row r="354">
      <x:c r="A354" t="str">
        <x:v>REG_MILAYDE_SRC_0013</x:v>
      </x:c>
      <x:c r="B354" t="str">
        <x:v>MILAYDE_LOBATO</x:v>
      </x:c>
      <x:c r="C354" t="str">
        <x:v>ORIGEM ANANINDEUA</x:v>
      </x:c>
      <x:c r="D354" t="str">
        <x:v>Aveiro</x:v>
      </x:c>
      <x:c r="E354" t="str">
        <x:v>PA</x:v>
      </x:c>
      <x:c r="F354" t="str">
        <x:v>40%</x:v>
      </x:c>
      <x:c r="G354" t="n">
        <x:v>138</x:v>
      </x:c>
      <x:c r="H354" t="str">
        <x:v>8 a 10 dias / revisar</x:v>
      </x:c>
      <x:c r="I354" t="str">
        <x:v>TABELA MILAYDE PATRICIA.pdf</x:v>
      </x:c>
      <x:c r="J354" t="str">
        <x:v>1</x:v>
      </x:c>
      <x:c r="K354" t="str">
        <x:v>REVISAR_OK</x:v>
      </x:c>
      <x:c r="L354"/>
      <x:c r="M354"/>
      <x:c r="N354" t="str">
        <x:v>13/05/2026</x:v>
      </x:c>
      <x:c r="O354" t="str">
        <x:v>MILAYDE = FÊNIX confirmado pelo usuário. Regra Fênix aplicada ao CNPJ Milayde; gatilho por kg não automatizado nesta etapa.</x:v>
      </x:c>
      <x:c r="P354" t="str">
        <x:v>ORIGINAL</x:v>
      </x:c>
      <x:c r="Q354"/>
      <x:c r="R354"/>
      <x:c r="S354"/>
      <x:c r="T354"/>
      <x:c r="U354"/>
      <x:c r="V354" t="str">
        <x:v>SIM</x:v>
      </x:c>
      <x:c r="W354" t="str">
        <x:v>MILAYDE</x:v>
      </x:c>
      <x:c r="X354" t="str">
        <x:v>PERCENTUAL</x:v>
      </x:c>
      <x:c r="Y354"/>
      <x:c r="Z354" t="str">
        <x:v>2.6.46</x:v>
      </x:c>
      <x:c r="AA354" t="str">
        <x:v>Frete base × percentual; aplicar frete mínimo quando maior. Bloco percentual ativado; controle visual passivo. Obs.: frete gatilho por kg citado na fonte não automatizado nesta etapa.</x:v>
      </x:c>
    </x:row>
    <x:row r="355">
      <x:c r="A355" t="str">
        <x:v>REG_MILAYDE_SRC_0014</x:v>
      </x:c>
      <x:c r="B355" t="str">
        <x:v>MILAYDE_LOBATO</x:v>
      </x:c>
      <x:c r="C355" t="str">
        <x:v>ORIGEM ANANINDEUA</x:v>
      </x:c>
      <x:c r="D355" t="str">
        <x:v>Belterra</x:v>
      </x:c>
      <x:c r="E355" t="str">
        <x:v>PA</x:v>
      </x:c>
      <x:c r="F355" t="str">
        <x:v>40%</x:v>
      </x:c>
      <x:c r="G355" t="n">
        <x:v>138</x:v>
      </x:c>
      <x:c r="H355" t="str">
        <x:v>8 a 10 dias / revisar</x:v>
      </x:c>
      <x:c r="I355" t="str">
        <x:v>TABELA MILAYDE PATRICIA.pdf</x:v>
      </x:c>
      <x:c r="J355" t="str">
        <x:v>1</x:v>
      </x:c>
      <x:c r="K355" t="str">
        <x:v>REVISAR_OK</x:v>
      </x:c>
      <x:c r="L355"/>
      <x:c r="M355"/>
      <x:c r="N355" t="str">
        <x:v>13/05/2026</x:v>
      </x:c>
      <x:c r="O355" t="str">
        <x:v>MILAYDE = FÊNIX confirmado pelo usuário. Regra Fênix aplicada ao CNPJ Milayde; gatilho por kg não automatizado nesta etapa.</x:v>
      </x:c>
      <x:c r="P355" t="str">
        <x:v>ORIGINAL</x:v>
      </x:c>
      <x:c r="Q355"/>
      <x:c r="R355"/>
      <x:c r="S355"/>
      <x:c r="T355"/>
      <x:c r="U355"/>
      <x:c r="V355" t="str">
        <x:v>SIM</x:v>
      </x:c>
      <x:c r="W355" t="str">
        <x:v>MILAYDE</x:v>
      </x:c>
      <x:c r="X355" t="str">
        <x:v>PERCENTUAL</x:v>
      </x:c>
      <x:c r="Y355"/>
      <x:c r="Z355" t="str">
        <x:v>2.6.46</x:v>
      </x:c>
      <x:c r="AA355" t="str">
        <x:v>Frete base × percentual; aplicar frete mínimo quando maior. Bloco percentual ativado; controle visual passivo. Obs.: frete gatilho por kg citado na fonte não automatizado nesta etapa.</x:v>
      </x:c>
    </x:row>
    <x:row r="356">
      <x:c r="A356" t="str">
        <x:v>REG_MILAYDE_SRC_0015</x:v>
      </x:c>
      <x:c r="B356" t="str">
        <x:v>MILAYDE_LOBATO</x:v>
      </x:c>
      <x:c r="C356" t="str">
        <x:v>ORIGEM ANANINDEUA</x:v>
      </x:c>
      <x:c r="D356" t="str">
        <x:v>Rurópolis</x:v>
      </x:c>
      <x:c r="E356" t="str">
        <x:v>PA</x:v>
      </x:c>
      <x:c r="F356" t="str">
        <x:v>40%</x:v>
      </x:c>
      <x:c r="G356" t="n">
        <x:v>138</x:v>
      </x:c>
      <x:c r="H356" t="str">
        <x:v>8 a 10 dias / revisar</x:v>
      </x:c>
      <x:c r="I356" t="str">
        <x:v>TABELA MILAYDE PATRICIA.pdf</x:v>
      </x:c>
      <x:c r="J356" t="str">
        <x:v>1</x:v>
      </x:c>
      <x:c r="K356" t="str">
        <x:v>REVISAR_OK</x:v>
      </x:c>
      <x:c r="L356"/>
      <x:c r="M356"/>
      <x:c r="N356" t="str">
        <x:v>13/05/2026</x:v>
      </x:c>
      <x:c r="O356" t="str">
        <x:v>MILAYDE = FÊNIX confirmado pelo usuário. Regra Fênix aplicada ao CNPJ Milayde; gatilho por kg não automatizado nesta etapa.</x:v>
      </x:c>
      <x:c r="P356" t="str">
        <x:v>ORIGINAL</x:v>
      </x:c>
      <x:c r="Q356"/>
      <x:c r="R356"/>
      <x:c r="S356"/>
      <x:c r="T356"/>
      <x:c r="U356"/>
      <x:c r="V356" t="str">
        <x:v>SIM</x:v>
      </x:c>
      <x:c r="W356" t="str">
        <x:v>MILAYDE</x:v>
      </x:c>
      <x:c r="X356" t="str">
        <x:v>PERCENTUAL</x:v>
      </x:c>
      <x:c r="Y356"/>
      <x:c r="Z356" t="str">
        <x:v>2.6.46</x:v>
      </x:c>
      <x:c r="AA356" t="str">
        <x:v>Frete base × percentual; aplicar frete mínimo quando maior. Bloco percentual ativado; controle visual passivo. Obs.: frete gatilho por kg citado na fonte não automatizado nesta etapa.</x:v>
      </x:c>
    </x:row>
    <x:row r="357">
      <x:c r="A357" t="str">
        <x:v>OPAL_REG_0001</x:v>
      </x:c>
      <x:c r="B357" t="str">
        <x:v>OPAL</x:v>
      </x:c>
      <x:c r="C357" t="str">
        <x:v>AP1</x:v>
      </x:c>
      <x:c r="D357" t="str">
        <x:v>MACAPA</x:v>
      </x:c>
      <x:c r="E357" t="str">
        <x:v>AP</x:v>
      </x:c>
      <x:c r="F357" t="str">
        <x:v>28%</x:v>
      </x:c>
      <x:c r="G357" t="n">
        <x:v>90</x:v>
      </x:c>
      <x:c r="H357"/>
      <x:c r="I357" t="str">
        <x:v>TABELA_DISTRIB_AP_RODOVITOR_2026_A4.xlsx</x:v>
      </x:c>
      <x:c r="J357" t="str">
        <x:v>1</x:v>
      </x:c>
      <x:c r="K357" t="str">
        <x:v>REVISAR_OK</x:v>
      </x:c>
      <x:c r="L357"/>
      <x:c r="M357" t="str">
        <x:v>Rodoviário / distribuição</x:v>
      </x:c>
      <x:c r="N357" t="str">
        <x:v>10/06/2026</x:v>
      </x:c>
      <x:c r="O357" t="str">
        <x:v>Macapá: 28% sobre o frete bruto, respeitando mínima de R$ 90,00.</x:v>
      </x:c>
      <x:c r="P357" t="str">
        <x:v>ORIGINAL</x:v>
      </x:c>
      <x:c r="Q357" t="str">
        <x:v>NÃO</x:v>
      </x:c>
      <x:c r="R357"/>
      <x:c r="S357" t="str">
        <x:v>NÃO</x:v>
      </x:c>
      <x:c r="T357"/>
      <x:c r="U357"/>
      <x:c r="V357" t="str">
        <x:v>SIM</x:v>
      </x:c>
      <x:c r="W357" t="str">
        <x:v>OPAL</x:v>
      </x:c>
      <x:c r="X357" t="str">
        <x:v>PERCENTUAL</x:v>
      </x:c>
      <x:c r="Y357"/>
      <x:c r="Z357" t="str">
        <x:v>2.6.44</x:v>
      </x:c>
      <x:c r="AA357" t="str">
        <x:v>Frete base × percentual; aplicar o frete mínimo quando maior.</x:v>
      </x:c>
    </x:row>
    <x:row r="358">
      <x:c r="A358" t="str">
        <x:v>OPAL_REG_0002</x:v>
      </x:c>
      <x:c r="B358" t="str">
        <x:v>OPAL</x:v>
      </x:c>
      <x:c r="C358" t="str">
        <x:v>AP1</x:v>
      </x:c>
      <x:c r="D358" t="str">
        <x:v>SANTANA</x:v>
      </x:c>
      <x:c r="E358" t="str">
        <x:v>AP</x:v>
      </x:c>
      <x:c r="F358" t="str">
        <x:v>28%</x:v>
      </x:c>
      <x:c r="G358" t="n">
        <x:v>90</x:v>
      </x:c>
      <x:c r="H358"/>
      <x:c r="I358" t="str">
        <x:v>TABELA_DISTRIB_AP_RODOVITOR_2026_A4.xlsx</x:v>
      </x:c>
      <x:c r="J358" t="str">
        <x:v>1</x:v>
      </x:c>
      <x:c r="K358" t="str">
        <x:v>REVISAR_OK</x:v>
      </x:c>
      <x:c r="L358"/>
      <x:c r="M358" t="str">
        <x:v>Rodoviário / distribuição</x:v>
      </x:c>
      <x:c r="N358" t="str">
        <x:v>10/06/2026</x:v>
      </x:c>
      <x:c r="O358" t="str">
        <x:v>Santana: 28% sobre o frete bruto, respeitando mínima de R$ 90,00.</x:v>
      </x:c>
      <x:c r="P358" t="str">
        <x:v>ORIGINAL</x:v>
      </x:c>
      <x:c r="Q358" t="str">
        <x:v>NÃO</x:v>
      </x:c>
      <x:c r="R358"/>
      <x:c r="S358" t="str">
        <x:v>NÃO</x:v>
      </x:c>
      <x:c r="T358"/>
      <x:c r="U358"/>
      <x:c r="V358" t="str">
        <x:v>SIM</x:v>
      </x:c>
      <x:c r="W358" t="str">
        <x:v>OPAL</x:v>
      </x:c>
      <x:c r="X358" t="str">
        <x:v>PERCENTUAL</x:v>
      </x:c>
      <x:c r="Y358"/>
      <x:c r="Z358" t="str">
        <x:v>2.6.44</x:v>
      </x:c>
      <x:c r="AA358" t="str">
        <x:v>Frete base × percentual; aplicar o frete mínimo quando maior.</x:v>
      </x:c>
    </x:row>
    <x:row r="359">
      <x:c r="A359" t="str">
        <x:v>OPAL_REG_0003</x:v>
      </x:c>
      <x:c r="B359" t="str">
        <x:v>OPAL</x:v>
      </x:c>
      <x:c r="C359" t="str">
        <x:v>AP2</x:v>
      </x:c>
      <x:c r="D359" t="str">
        <x:v>INTERIOR AP</x:v>
      </x:c>
      <x:c r="E359" t="str">
        <x:v>AP</x:v>
      </x:c>
      <x:c r="F359" t="str">
        <x:v>33%</x:v>
      </x:c>
      <x:c r="G359" t="n">
        <x:v>120</x:v>
      </x:c>
      <x:c r="H359"/>
      <x:c r="I359" t="str">
        <x:v>TABELA_DISTRIB_AP_RODOVITOR_2026_A4.xlsx</x:v>
      </x:c>
      <x:c r="J359" t="str">
        <x:v>1</x:v>
      </x:c>
      <x:c r="K359" t="str">
        <x:v>REVISAR_OK</x:v>
      </x:c>
      <x:c r="L359"/>
      <x:c r="M359" t="str">
        <x:v>Rodoviário / distribuição</x:v>
      </x:c>
      <x:c r="N359" t="str">
        <x:v>10/06/2026</x:v>
      </x:c>
      <x:c r="O359" t="str">
        <x:v>Interior do AP: 33% sobre o frete bruto, respeitando mínima de R$ 120,00.</x:v>
      </x:c>
      <x:c r="P359" t="str">
        <x:v>ORIGINAL</x:v>
      </x:c>
      <x:c r="Q359" t="str">
        <x:v>NÃO</x:v>
      </x:c>
      <x:c r="R359"/>
      <x:c r="S359" t="str">
        <x:v>NÃO</x:v>
      </x:c>
      <x:c r="T359"/>
      <x:c r="U359"/>
      <x:c r="V359" t="str">
        <x:v>SIM</x:v>
      </x:c>
      <x:c r="W359" t="str">
        <x:v>OPAL</x:v>
      </x:c>
      <x:c r="X359" t="str">
        <x:v>PERCENTUAL</x:v>
      </x:c>
      <x:c r="Y359"/>
      <x:c r="Z359" t="str">
        <x:v>2.6.44</x:v>
      </x:c>
      <x:c r="AA359" t="str">
        <x:v>Frete base × percentual; aplicar o frete mínimo quando maior.</x:v>
      </x:c>
    </x:row>
    <x:row r="360">
      <x:c r="A360" t="str">
        <x:v>OPAL_REG_0004</x:v>
      </x:c>
      <x:c r="B360" t="str">
        <x:v>OPAL</x:v>
      </x:c>
      <x:c r="C360" t="str">
        <x:v>AP2</x:v>
      </x:c>
      <x:c r="D360" t="str">
        <x:v>AFUA</x:v>
      </x:c>
      <x:c r="E360" t="str">
        <x:v>PA</x:v>
      </x:c>
      <x:c r="F360" t="str">
        <x:v>7%</x:v>
      </x:c>
      <x:c r="G360" t="n">
        <x:v>120</x:v>
      </x:c>
      <x:c r="H360"/>
      <x:c r="I360" t="str">
        <x:v>TABELA_DISTRIB_AP_RODOVITOR_2026_A4.xlsx</x:v>
      </x:c>
      <x:c r="J360" t="str">
        <x:v>1</x:v>
      </x:c>
      <x:c r="K360" t="str">
        <x:v>REVISAR_OK</x:v>
      </x:c>
      <x:c r="L360"/>
      <x:c r="M360" t="str">
        <x:v>Rodoviário / distribuição</x:v>
      </x:c>
      <x:c r="N360" t="str">
        <x:v>10/06/2026</x:v>
      </x:c>
      <x:c r="O360" t="str">
        <x:v>Afuá: 7% sobre o valor da NF, respeitando mínima de R$ 120,00.</x:v>
      </x:c>
      <x:c r="P360" t="str">
        <x:v>MERCADORIA</x:v>
      </x:c>
      <x:c r="Q360" t="str">
        <x:v>NÃO</x:v>
      </x:c>
      <x:c r="R360"/>
      <x:c r="S360" t="str">
        <x:v>NÃO</x:v>
      </x:c>
      <x:c r="T360"/>
      <x:c r="U360"/>
      <x:c r="V360" t="str">
        <x:v>SIM</x:v>
      </x:c>
      <x:c r="W360" t="str">
        <x:v>OPAL</x:v>
      </x:c>
      <x:c r="X360" t="str">
        <x:v>PERCENTUAL</x:v>
      </x:c>
      <x:c r="Y360"/>
      <x:c r="Z360" t="str">
        <x:v>2.6.44</x:v>
      </x:c>
      <x:c r="AA360" t="str">
        <x:v>Frete base × percentual; aplicar o frete mínimo quando maior.</x:v>
      </x:c>
    </x:row>
    <x:row r="361">
      <x:c r="A361" t="str">
        <x:v>OPAL_REG_0005</x:v>
      </x:c>
      <x:c r="B361" t="str">
        <x:v>OPAL</x:v>
      </x:c>
      <x:c r="C361" t="str">
        <x:v>AP2</x:v>
      </x:c>
      <x:c r="D361" t="str">
        <x:v>CHAVES</x:v>
      </x:c>
      <x:c r="E361" t="str">
        <x:v>PA</x:v>
      </x:c>
      <x:c r="F361" t="str">
        <x:v>7%</x:v>
      </x:c>
      <x:c r="G361" t="n">
        <x:v>120</x:v>
      </x:c>
      <x:c r="H361"/>
      <x:c r="I361" t="str">
        <x:v>TABELA_DISTRIB_AP_RODOVITOR_2026_A4.xlsx</x:v>
      </x:c>
      <x:c r="J361" t="str">
        <x:v>1</x:v>
      </x:c>
      <x:c r="K361" t="str">
        <x:v>REVISAR_OK</x:v>
      </x:c>
      <x:c r="L361"/>
      <x:c r="M361" t="str">
        <x:v>Rodoviário / distribuição</x:v>
      </x:c>
      <x:c r="N361" t="str">
        <x:v>10/06/2026</x:v>
      </x:c>
      <x:c r="O361" t="str">
        <x:v>Chaves: 7% sobre o valor da NF, respeitando mínima de R$ 120,00.</x:v>
      </x:c>
      <x:c r="P361" t="str">
        <x:v>MERCADORIA</x:v>
      </x:c>
      <x:c r="Q361" t="str">
        <x:v>NÃO</x:v>
      </x:c>
      <x:c r="R361"/>
      <x:c r="S361" t="str">
        <x:v>NÃO</x:v>
      </x:c>
      <x:c r="T361"/>
      <x:c r="U361"/>
      <x:c r="V361" t="str">
        <x:v>SIM</x:v>
      </x:c>
      <x:c r="W361" t="str">
        <x:v>OPAL</x:v>
      </x:c>
      <x:c r="X361" t="str">
        <x:v>PERCENTUAL</x:v>
      </x:c>
      <x:c r="Y361"/>
      <x:c r="Z361" t="str">
        <x:v>2.6.44</x:v>
      </x:c>
      <x:c r="AA361" t="str">
        <x:v>Frete base × percentual; aplicar o frete mínimo quando maior.</x:v>
      </x:c>
    </x:row>
    <x:row r="362">
      <x:c r="A362" t="str">
        <x:v>ACV_REG_0001</x:v>
      </x:c>
      <x:c r="B362" t="str">
        <x:v>AC_LOG_C_VARGAS</x:v>
      </x:c>
      <x:c r="C362" t="str">
        <x:v>LAJ/LAJI</x:v>
      </x:c>
      <x:c r="D362" t="str">
        <x:v>ALMEIRIM</x:v>
      </x:c>
      <x:c r="E362" t="str">
        <x:v>PA</x:v>
      </x:c>
      <x:c r="F362" t="str">
        <x:v>23%</x:v>
      </x:c>
      <x:c r="G362" t="n">
        <x:v>33.64</x:v>
      </x:c>
      <x:c r="H362" t="str">
        <x:v>3+2</x:v>
      </x:c>
      <x:c r="I362" t="str">
        <x:v>TABELA_AC_LOG_C_VARGAS_DISTRIBUICAO_AP_2025.pdf</x:v>
      </x:c>
      <x:c r="J362" t="str">
        <x:v>1</x:v>
      </x:c>
      <x:c r="K362" t="str">
        <x:v>REVISAR_OK</x:v>
      </x:c>
      <x:c r="L362" t="n">
        <x:v>841.04</x:v>
      </x:c>
      <x:c r="M362" t="str">
        <x:v>Rodoviário / distribuição</x:v>
      </x:c>
      <x:c r="N362" t="str">
        <x:v>08/10/2025</x:v>
      </x:c>
      <x:c r="O362" t="str">
        <x:v>Unidade/praça LAJ/LAJI; mínimo por CT-e R$ 33.64; FRETE PESO: kg × R$ 0,84104/kg (R$ 841.04/ton no campo legado).</x:v>
      </x:c>
      <x:c r="P362" t="str">
        <x:v>ORIGINAL</x:v>
      </x:c>
      <x:c r="Q362" t="str">
        <x:v>SIM</x:v>
      </x:c>
      <x:c r="R362" t="str">
        <x:v>0,20%</x:v>
      </x:c>
      <x:c r="S362" t="str">
        <x:v>NÃO</x:v>
      </x:c>
      <x:c r="T362"/>
      <x:c r="U362"/>
      <x:c r="V362" t="str">
        <x:v>SIM</x:v>
      </x:c>
      <x:c r="W362" t="str">
        <x:v>AC LOG / C VARGAS</x:v>
      </x:c>
      <x:c r="X362" t="str">
        <x:v>FRETE_PESO</x:v>
      </x:c>
      <x:c r="Y362"/>
      <x:c r="Z362" t="str">
        <x:v>2.6.44</x:v>
      </x:c>
      <x:c r="AA362" t="str">
        <x:v>Frete-peso confirmado: peso em kg × R$ 0,84104/kg. Tarifa R$/ton mantida apenas para compatibilidade estrutural.</x:v>
      </x:c>
    </x:row>
    <x:row r="363">
      <x:c r="A363" t="str">
        <x:v>ACV_REG_0002</x:v>
      </x:c>
      <x:c r="B363" t="str">
        <x:v>AC_LOG_C_VARGAS</x:v>
      </x:c>
      <x:c r="C363" t="str">
        <x:v>LAJ/LAJI</x:v>
      </x:c>
      <x:c r="D363" t="str">
        <x:v>VITORIA DO JARI</x:v>
      </x:c>
      <x:c r="E363" t="str">
        <x:v>AP</x:v>
      </x:c>
      <x:c r="F363" t="str">
        <x:v>23%</x:v>
      </x:c>
      <x:c r="G363" t="n">
        <x:v>33.64</x:v>
      </x:c>
      <x:c r="H363" t="str">
        <x:v>3+3</x:v>
      </x:c>
      <x:c r="I363" t="str">
        <x:v>TABELA_AC_LOG_C_VARGAS_DISTRIBUICAO_AP_2025.pdf</x:v>
      </x:c>
      <x:c r="J363" t="str">
        <x:v>1</x:v>
      </x:c>
      <x:c r="K363" t="str">
        <x:v>REVISAR_OK</x:v>
      </x:c>
      <x:c r="L363" t="n">
        <x:v>841.04</x:v>
      </x:c>
      <x:c r="M363" t="str">
        <x:v>Rodoviário / distribuição</x:v>
      </x:c>
      <x:c r="N363" t="str">
        <x:v>08/10/2025</x:v>
      </x:c>
      <x:c r="O363" t="str">
        <x:v>Unidade/praça LAJ/LAJI; mínimo por CT-e R$ 33.64; FRETE PESO: kg × R$ 0,84104/kg (R$ 841.04/ton no campo legado).</x:v>
      </x:c>
      <x:c r="P363" t="str">
        <x:v>ORIGINAL</x:v>
      </x:c>
      <x:c r="Q363" t="str">
        <x:v>SIM</x:v>
      </x:c>
      <x:c r="R363" t="str">
        <x:v>0,20%</x:v>
      </x:c>
      <x:c r="S363" t="str">
        <x:v>NÃO</x:v>
      </x:c>
      <x:c r="T363"/>
      <x:c r="U363"/>
      <x:c r="V363" t="str">
        <x:v>SIM</x:v>
      </x:c>
      <x:c r="W363" t="str">
        <x:v>AC LOG / C VARGAS</x:v>
      </x:c>
      <x:c r="X363" t="str">
        <x:v>FRETE_PESO</x:v>
      </x:c>
      <x:c r="Y363"/>
      <x:c r="Z363" t="str">
        <x:v>2.6.44</x:v>
      </x:c>
      <x:c r="AA363" t="str">
        <x:v>Frete-peso confirmado: peso em kg × R$ 0,84104/kg. Tarifa R$/ton mantida apenas para compatibilidade estrutural.</x:v>
      </x:c>
    </x:row>
    <x:row r="364">
      <x:c r="A364" t="str">
        <x:v>ACV_REG_0003</x:v>
      </x:c>
      <x:c r="B364" t="str">
        <x:v>AC_LOG_C_VARGAS</x:v>
      </x:c>
      <x:c r="C364" t="str">
        <x:v>LAJ/LAJP</x:v>
      </x:c>
      <x:c r="D364" t="str">
        <x:v>LARANJAL DO JARI</x:v>
      </x:c>
      <x:c r="E364" t="str">
        <x:v>AP</x:v>
      </x:c>
      <x:c r="F364" t="str">
        <x:v>23%</x:v>
      </x:c>
      <x:c r="G364" t="n">
        <x:v>33.64</x:v>
      </x:c>
      <x:c r="H364" t="str">
        <x:v>3+2</x:v>
      </x:c>
      <x:c r="I364" t="str">
        <x:v>TABELA_AC_LOG_C_VARGAS_DISTRIBUICAO_AP_2025.pdf</x:v>
      </x:c>
      <x:c r="J364" t="str">
        <x:v>1</x:v>
      </x:c>
      <x:c r="K364" t="str">
        <x:v>REVISAR_OK</x:v>
      </x:c>
      <x:c r="L364" t="n">
        <x:v>841.04</x:v>
      </x:c>
      <x:c r="M364" t="str">
        <x:v>Rodoviário / distribuição</x:v>
      </x:c>
      <x:c r="N364" t="str">
        <x:v>08/10/2025</x:v>
      </x:c>
      <x:c r="O364" t="str">
        <x:v>Unidade/praça LAJ/LAJP; mínimo por CT-e R$ 33.64; FRETE PESO: kg × R$ 0,84104/kg (R$ 841.04/ton no campo legado).</x:v>
      </x:c>
      <x:c r="P364" t="str">
        <x:v>ORIGINAL</x:v>
      </x:c>
      <x:c r="Q364" t="str">
        <x:v>SIM</x:v>
      </x:c>
      <x:c r="R364" t="str">
        <x:v>0,20%</x:v>
      </x:c>
      <x:c r="S364" t="str">
        <x:v>NÃO</x:v>
      </x:c>
      <x:c r="T364"/>
      <x:c r="U364"/>
      <x:c r="V364" t="str">
        <x:v>SIM</x:v>
      </x:c>
      <x:c r="W364" t="str">
        <x:v>AC LOG / C VARGAS</x:v>
      </x:c>
      <x:c r="X364" t="str">
        <x:v>FRETE_PESO</x:v>
      </x:c>
      <x:c r="Y364"/>
      <x:c r="Z364" t="str">
        <x:v>2.6.44</x:v>
      </x:c>
      <x:c r="AA364" t="str">
        <x:v>Frete-peso confirmado: peso em kg × R$ 0,84104/kg. Tarifa R$/ton mantida apenas para compatibilidade estrutural.</x:v>
      </x:c>
    </x:row>
    <x:row r="365">
      <x:c r="A365" t="str">
        <x:v>ACV_REG_0004</x:v>
      </x:c>
      <x:c r="B365" t="str">
        <x:v>AC_LOG_C_VARGAS</x:v>
      </x:c>
      <x:c r="C365" t="str">
        <x:v>MCP/MCPI</x:v>
      </x:c>
      <x:c r="D365" t="str">
        <x:v>AMAPA</x:v>
      </x:c>
      <x:c r="E365" t="str">
        <x:v>AP</x:v>
      </x:c>
      <x:c r="F365" t="str">
        <x:v>23%</x:v>
      </x:c>
      <x:c r="G365" t="n">
        <x:v>31.54</x:v>
      </x:c>
      <x:c r="H365" t="str">
        <x:v>D5</x:v>
      </x:c>
      <x:c r="I365" t="str">
        <x:v>TABELA_AC_LOG_C_VARGAS_DISTRIBUICAO_AP_2025.pdf</x:v>
      </x:c>
      <x:c r="J365" t="str">
        <x:v>1</x:v>
      </x:c>
      <x:c r="K365" t="str">
        <x:v>REVISAR_OK</x:v>
      </x:c>
      <x:c r="L365" t="n">
        <x:v>788.48</x:v>
      </x:c>
      <x:c r="M365" t="str">
        <x:v>Rodoviário / distribuição</x:v>
      </x:c>
      <x:c r="N365" t="str">
        <x:v>08/10/2025</x:v>
      </x:c>
      <x:c r="O365" t="str">
        <x:v>Unidade/praça MCP/MCPI; mínimo por CT-e R$ 31.54; FRETE PESO: kg × R$ 0,78848/kg (R$ 788.48/ton no campo legado).</x:v>
      </x:c>
      <x:c r="P365" t="str">
        <x:v>ORIGINAL</x:v>
      </x:c>
      <x:c r="Q365" t="str">
        <x:v>SIM</x:v>
      </x:c>
      <x:c r="R365" t="str">
        <x:v>0,20%</x:v>
      </x:c>
      <x:c r="S365" t="str">
        <x:v>NÃO</x:v>
      </x:c>
      <x:c r="T365"/>
      <x:c r="U365"/>
      <x:c r="V365" t="str">
        <x:v>SIM</x:v>
      </x:c>
      <x:c r="W365" t="str">
        <x:v>AC LOG / C VARGAS</x:v>
      </x:c>
      <x:c r="X365" t="str">
        <x:v>FRETE_PESO</x:v>
      </x:c>
      <x:c r="Y365"/>
      <x:c r="Z365" t="str">
        <x:v>2.6.44</x:v>
      </x:c>
      <x:c r="AA365" t="str">
        <x:v>Frete-peso confirmado: peso em kg × R$ 0,78848/kg. Tarifa R$/ton mantida apenas para compatibilidade estrutural.</x:v>
      </x:c>
    </x:row>
    <x:row r="366">
      <x:c r="A366" t="str">
        <x:v>ACV_REG_0005</x:v>
      </x:c>
      <x:c r="B366" t="str">
        <x:v>AC_LOG_C_VARGAS</x:v>
      </x:c>
      <x:c r="C366" t="str">
        <x:v>MCP/MCPI</x:v>
      </x:c>
      <x:c r="D366" t="str">
        <x:v>CALCOENE</x:v>
      </x:c>
      <x:c r="E366" t="str">
        <x:v>AP</x:v>
      </x:c>
      <x:c r="F366" t="str">
        <x:v>23%</x:v>
      </x:c>
      <x:c r="G366" t="n">
        <x:v>31.54</x:v>
      </x:c>
      <x:c r="H366" t="str">
        <x:v>D5</x:v>
      </x:c>
      <x:c r="I366" t="str">
        <x:v>TABELA_AC_LOG_C_VARGAS_DISTRIBUICAO_AP_2025.pdf</x:v>
      </x:c>
      <x:c r="J366" t="str">
        <x:v>1</x:v>
      </x:c>
      <x:c r="K366" t="str">
        <x:v>REVISAR_OK</x:v>
      </x:c>
      <x:c r="L366" t="n">
        <x:v>788.48</x:v>
      </x:c>
      <x:c r="M366" t="str">
        <x:v>Rodoviário / distribuição</x:v>
      </x:c>
      <x:c r="N366" t="str">
        <x:v>08/10/2025</x:v>
      </x:c>
      <x:c r="O366" t="str">
        <x:v>Unidade/praça MCP/MCPI; mínimo por CT-e R$ 31.54; FRETE PESO: kg × R$ 0,78848/kg (R$ 788.48/ton no campo legado).</x:v>
      </x:c>
      <x:c r="P366" t="str">
        <x:v>ORIGINAL</x:v>
      </x:c>
      <x:c r="Q366" t="str">
        <x:v>SIM</x:v>
      </x:c>
      <x:c r="R366" t="str">
        <x:v>0,20%</x:v>
      </x:c>
      <x:c r="S366" t="str">
        <x:v>NÃO</x:v>
      </x:c>
      <x:c r="T366"/>
      <x:c r="U366"/>
      <x:c r="V366" t="str">
        <x:v>SIM</x:v>
      </x:c>
      <x:c r="W366" t="str">
        <x:v>AC LOG / C VARGAS</x:v>
      </x:c>
      <x:c r="X366" t="str">
        <x:v>FRETE_PESO</x:v>
      </x:c>
      <x:c r="Y366"/>
      <x:c r="Z366" t="str">
        <x:v>2.6.44</x:v>
      </x:c>
      <x:c r="AA366" t="str">
        <x:v>Frete-peso confirmado: peso em kg × R$ 0,78848/kg. Tarifa R$/ton mantida apenas para compatibilidade estrutural.</x:v>
      </x:c>
    </x:row>
    <x:row r="367">
      <x:c r="A367" t="str">
        <x:v>ACV_REG_0006</x:v>
      </x:c>
      <x:c r="B367" t="str">
        <x:v>AC_LOG_C_VARGAS</x:v>
      </x:c>
      <x:c r="C367" t="str">
        <x:v>MCP/MCPI</x:v>
      </x:c>
      <x:c r="D367" t="str">
        <x:v>CUTIAS</x:v>
      </x:c>
      <x:c r="E367" t="str">
        <x:v>AP</x:v>
      </x:c>
      <x:c r="F367" t="str">
        <x:v>23%</x:v>
      </x:c>
      <x:c r="G367" t="n">
        <x:v>31.54</x:v>
      </x:c>
      <x:c r="H367" t="str">
        <x:v>D5</x:v>
      </x:c>
      <x:c r="I367" t="str">
        <x:v>TABELA_AC_LOG_C_VARGAS_DISTRIBUICAO_AP_2025.pdf</x:v>
      </x:c>
      <x:c r="J367" t="str">
        <x:v>1</x:v>
      </x:c>
      <x:c r="K367" t="str">
        <x:v>REVISAR_OK</x:v>
      </x:c>
      <x:c r="L367" t="n">
        <x:v>788.48</x:v>
      </x:c>
      <x:c r="M367" t="str">
        <x:v>Rodoviário / distribuição</x:v>
      </x:c>
      <x:c r="N367" t="str">
        <x:v>08/10/2025</x:v>
      </x:c>
      <x:c r="O367" t="str">
        <x:v>Unidade/praça MCP/MCPI; mínimo por CT-e R$ 31.54; FRETE PESO: kg × R$ 0,78848/kg (R$ 788.48/ton no campo legado).</x:v>
      </x:c>
      <x:c r="P367" t="str">
        <x:v>ORIGINAL</x:v>
      </x:c>
      <x:c r="Q367" t="str">
        <x:v>SIM</x:v>
      </x:c>
      <x:c r="R367" t="str">
        <x:v>0,20%</x:v>
      </x:c>
      <x:c r="S367" t="str">
        <x:v>NÃO</x:v>
      </x:c>
      <x:c r="T367"/>
      <x:c r="U367"/>
      <x:c r="V367" t="str">
        <x:v>SIM</x:v>
      </x:c>
      <x:c r="W367" t="str">
        <x:v>AC LOG / C VARGAS</x:v>
      </x:c>
      <x:c r="X367" t="str">
        <x:v>FRETE_PESO</x:v>
      </x:c>
      <x:c r="Y367"/>
      <x:c r="Z367" t="str">
        <x:v>2.6.44</x:v>
      </x:c>
      <x:c r="AA367" t="str">
        <x:v>Frete-peso confirmado: peso em kg × R$ 0,78848/kg. Tarifa R$/ton mantida apenas para compatibilidade estrutural.</x:v>
      </x:c>
    </x:row>
    <x:row r="368">
      <x:c r="A368" t="str">
        <x:v>ACV_REG_0007</x:v>
      </x:c>
      <x:c r="B368" t="str">
        <x:v>AC_LOG_C_VARGAS</x:v>
      </x:c>
      <x:c r="C368" t="str">
        <x:v>MCP/MCPI</x:v>
      </x:c>
      <x:c r="D368" t="str">
        <x:v>FERREIRA GOMES</x:v>
      </x:c>
      <x:c r="E368" t="str">
        <x:v>AP</x:v>
      </x:c>
      <x:c r="F368" t="str">
        <x:v>23%</x:v>
      </x:c>
      <x:c r="G368" t="n">
        <x:v>31.54</x:v>
      </x:c>
      <x:c r="H368" t="str">
        <x:v>D5</x:v>
      </x:c>
      <x:c r="I368" t="str">
        <x:v>TABELA_AC_LOG_C_VARGAS_DISTRIBUICAO_AP_2025.pdf</x:v>
      </x:c>
      <x:c r="J368" t="str">
        <x:v>1</x:v>
      </x:c>
      <x:c r="K368" t="str">
        <x:v>REVISAR_OK</x:v>
      </x:c>
      <x:c r="L368" t="n">
        <x:v>788.48</x:v>
      </x:c>
      <x:c r="M368" t="str">
        <x:v>Rodoviário / distribuição</x:v>
      </x:c>
      <x:c r="N368" t="str">
        <x:v>08/10/2025</x:v>
      </x:c>
      <x:c r="O368" t="str">
        <x:v>Unidade/praça MCP/MCPI; mínimo por CT-e R$ 31.54; FRETE PESO: kg × R$ 0,78848/kg (R$ 788.48/ton no campo legado).</x:v>
      </x:c>
      <x:c r="P368" t="str">
        <x:v>ORIGINAL</x:v>
      </x:c>
      <x:c r="Q368" t="str">
        <x:v>SIM</x:v>
      </x:c>
      <x:c r="R368" t="str">
        <x:v>0,20%</x:v>
      </x:c>
      <x:c r="S368" t="str">
        <x:v>NÃO</x:v>
      </x:c>
      <x:c r="T368"/>
      <x:c r="U368"/>
      <x:c r="V368" t="str">
        <x:v>SIM</x:v>
      </x:c>
      <x:c r="W368" t="str">
        <x:v>AC LOG / C VARGAS</x:v>
      </x:c>
      <x:c r="X368" t="str">
        <x:v>FRETE_PESO</x:v>
      </x:c>
      <x:c r="Y368"/>
      <x:c r="Z368" t="str">
        <x:v>2.6.44</x:v>
      </x:c>
      <x:c r="AA368" t="str">
        <x:v>Frete-peso confirmado: peso em kg × R$ 0,78848/kg. Tarifa R$/ton mantida apenas para compatibilidade estrutural.</x:v>
      </x:c>
    </x:row>
    <x:row r="369">
      <x:c r="A369" t="str">
        <x:v>ACV_REG_0008</x:v>
      </x:c>
      <x:c r="B369" t="str">
        <x:v>AC_LOG_C_VARGAS</x:v>
      </x:c>
      <x:c r="C369" t="str">
        <x:v>MCP/MCPI</x:v>
      </x:c>
      <x:c r="D369" t="str">
        <x:v>ITAUBAL</x:v>
      </x:c>
      <x:c r="E369" t="str">
        <x:v>AP</x:v>
      </x:c>
      <x:c r="F369" t="str">
        <x:v>23%</x:v>
      </x:c>
      <x:c r="G369" t="n">
        <x:v>31.54</x:v>
      </x:c>
      <x:c r="H369" t="str">
        <x:v>D5</x:v>
      </x:c>
      <x:c r="I369" t="str">
        <x:v>TABELA_AC_LOG_C_VARGAS_DISTRIBUICAO_AP_2025.pdf</x:v>
      </x:c>
      <x:c r="J369" t="str">
        <x:v>1</x:v>
      </x:c>
      <x:c r="K369" t="str">
        <x:v>REVISAR_OK</x:v>
      </x:c>
      <x:c r="L369" t="n">
        <x:v>788.48</x:v>
      </x:c>
      <x:c r="M369" t="str">
        <x:v>Rodoviário / distribuição</x:v>
      </x:c>
      <x:c r="N369" t="str">
        <x:v>08/10/2025</x:v>
      </x:c>
      <x:c r="O369" t="str">
        <x:v>Unidade/praça MCP/MCPI; mínimo por CT-e R$ 31.54; FRETE PESO: kg × R$ 0,78848/kg (R$ 788.48/ton no campo legado).</x:v>
      </x:c>
      <x:c r="P369" t="str">
        <x:v>ORIGINAL</x:v>
      </x:c>
      <x:c r="Q369" t="str">
        <x:v>SIM</x:v>
      </x:c>
      <x:c r="R369" t="str">
        <x:v>0,20%</x:v>
      </x:c>
      <x:c r="S369" t="str">
        <x:v>NÃO</x:v>
      </x:c>
      <x:c r="T369"/>
      <x:c r="U369"/>
      <x:c r="V369" t="str">
        <x:v>SIM</x:v>
      </x:c>
      <x:c r="W369" t="str">
        <x:v>AC LOG / C VARGAS</x:v>
      </x:c>
      <x:c r="X369" t="str">
        <x:v>FRETE_PESO</x:v>
      </x:c>
      <x:c r="Y369"/>
      <x:c r="Z369" t="str">
        <x:v>2.6.44</x:v>
      </x:c>
      <x:c r="AA369" t="str">
        <x:v>Frete-peso confirmado: peso em kg × R$ 0,78848/kg. Tarifa R$/ton mantida apenas para compatibilidade estrutural.</x:v>
      </x:c>
    </x:row>
    <x:row r="370">
      <x:c r="A370" t="str">
        <x:v>ACV_REG_0009</x:v>
      </x:c>
      <x:c r="B370" t="str">
        <x:v>AC_LOG_C_VARGAS</x:v>
      </x:c>
      <x:c r="C370" t="str">
        <x:v>MCP/MCPI</x:v>
      </x:c>
      <x:c r="D370" t="str">
        <x:v>MAZAGAO</x:v>
      </x:c>
      <x:c r="E370" t="str">
        <x:v>AP</x:v>
      </x:c>
      <x:c r="F370" t="str">
        <x:v>23%</x:v>
      </x:c>
      <x:c r="G370" t="n">
        <x:v>31.54</x:v>
      </x:c>
      <x:c r="H370" t="str">
        <x:v>D5</x:v>
      </x:c>
      <x:c r="I370" t="str">
        <x:v>TABELA_AC_LOG_C_VARGAS_DISTRIBUICAO_AP_2025.pdf</x:v>
      </x:c>
      <x:c r="J370" t="str">
        <x:v>1</x:v>
      </x:c>
      <x:c r="K370" t="str">
        <x:v>REVISAR_OK</x:v>
      </x:c>
      <x:c r="L370" t="n">
        <x:v>788.48</x:v>
      </x:c>
      <x:c r="M370" t="str">
        <x:v>Rodoviário / distribuição</x:v>
      </x:c>
      <x:c r="N370" t="str">
        <x:v>08/10/2025</x:v>
      </x:c>
      <x:c r="O370" t="str">
        <x:v>Unidade/praça MCP/MCPI; mínimo por CT-e R$ 31.54; FRETE PESO: kg × R$ 0,78848/kg (R$ 788.48/ton no campo legado).</x:v>
      </x:c>
      <x:c r="P370" t="str">
        <x:v>ORIGINAL</x:v>
      </x:c>
      <x:c r="Q370" t="str">
        <x:v>SIM</x:v>
      </x:c>
      <x:c r="R370" t="str">
        <x:v>0,20%</x:v>
      </x:c>
      <x:c r="S370" t="str">
        <x:v>NÃO</x:v>
      </x:c>
      <x:c r="T370"/>
      <x:c r="U370"/>
      <x:c r="V370" t="str">
        <x:v>SIM</x:v>
      </x:c>
      <x:c r="W370" t="str">
        <x:v>AC LOG / C VARGAS</x:v>
      </x:c>
      <x:c r="X370" t="str">
        <x:v>FRETE_PESO</x:v>
      </x:c>
      <x:c r="Y370"/>
      <x:c r="Z370" t="str">
        <x:v>2.6.44</x:v>
      </x:c>
      <x:c r="AA370" t="str">
        <x:v>Frete-peso confirmado: peso em kg × R$ 0,78848/kg. Tarifa R$/ton mantida apenas para compatibilidade estrutural.</x:v>
      </x:c>
    </x:row>
    <x:row r="371">
      <x:c r="A371" t="str">
        <x:v>ACV_REG_0010</x:v>
      </x:c>
      <x:c r="B371" t="str">
        <x:v>AC_LOG_C_VARGAS</x:v>
      </x:c>
      <x:c r="C371" t="str">
        <x:v>MCP/MCPI</x:v>
      </x:c>
      <x:c r="D371" t="str">
        <x:v>PORTO GRANDE</x:v>
      </x:c>
      <x:c r="E371" t="str">
        <x:v>AP</x:v>
      </x:c>
      <x:c r="F371" t="str">
        <x:v>23%</x:v>
      </x:c>
      <x:c r="G371" t="n">
        <x:v>31.54</x:v>
      </x:c>
      <x:c r="H371" t="str">
        <x:v>D5</x:v>
      </x:c>
      <x:c r="I371" t="str">
        <x:v>TABELA_AC_LOG_C_VARGAS_DISTRIBUICAO_AP_2025.pdf</x:v>
      </x:c>
      <x:c r="J371" t="str">
        <x:v>1</x:v>
      </x:c>
      <x:c r="K371" t="str">
        <x:v>REVISAR_OK</x:v>
      </x:c>
      <x:c r="L371" t="n">
        <x:v>788.48</x:v>
      </x:c>
      <x:c r="M371" t="str">
        <x:v>Rodoviário / distribuição</x:v>
      </x:c>
      <x:c r="N371" t="str">
        <x:v>08/10/2025</x:v>
      </x:c>
      <x:c r="O371" t="str">
        <x:v>Unidade/praça MCP/MCPI; mínimo por CT-e R$ 31.54; FRETE PESO: kg × R$ 0,78848/kg (R$ 788.48/ton no campo legado).</x:v>
      </x:c>
      <x:c r="P371" t="str">
        <x:v>ORIGINAL</x:v>
      </x:c>
      <x:c r="Q371" t="str">
        <x:v>SIM</x:v>
      </x:c>
      <x:c r="R371" t="str">
        <x:v>0,20%</x:v>
      </x:c>
      <x:c r="S371" t="str">
        <x:v>NÃO</x:v>
      </x:c>
      <x:c r="T371"/>
      <x:c r="U371"/>
      <x:c r="V371" t="str">
        <x:v>SIM</x:v>
      </x:c>
      <x:c r="W371" t="str">
        <x:v>AC LOG / C VARGAS</x:v>
      </x:c>
      <x:c r="X371" t="str">
        <x:v>FRETE_PESO</x:v>
      </x:c>
      <x:c r="Y371"/>
      <x:c r="Z371" t="str">
        <x:v>2.6.44</x:v>
      </x:c>
      <x:c r="AA371" t="str">
        <x:v>Frete-peso confirmado: peso em kg × R$ 0,78848/kg. Tarifa R$/ton mantida apenas para compatibilidade estrutural.</x:v>
      </x:c>
    </x:row>
    <x:row r="372">
      <x:c r="A372" t="str">
        <x:v>ACV_REG_0011</x:v>
      </x:c>
      <x:c r="B372" t="str">
        <x:v>AC_LOG_C_VARGAS</x:v>
      </x:c>
      <x:c r="C372" t="str">
        <x:v>MCP/MCPI</x:v>
      </x:c>
      <x:c r="D372" t="str">
        <x:v>PRACUUBA</x:v>
      </x:c>
      <x:c r="E372" t="str">
        <x:v>AP</x:v>
      </x:c>
      <x:c r="F372" t="str">
        <x:v>23%</x:v>
      </x:c>
      <x:c r="G372" t="n">
        <x:v>31.54</x:v>
      </x:c>
      <x:c r="H372" t="str">
        <x:v>D5</x:v>
      </x:c>
      <x:c r="I372" t="str">
        <x:v>TABELA_AC_LOG_C_VARGAS_DISTRIBUICAO_AP_2025.pdf</x:v>
      </x:c>
      <x:c r="J372" t="str">
        <x:v>1</x:v>
      </x:c>
      <x:c r="K372" t="str">
        <x:v>REVISAR_OK</x:v>
      </x:c>
      <x:c r="L372" t="n">
        <x:v>788.48</x:v>
      </x:c>
      <x:c r="M372" t="str">
        <x:v>Rodoviário / distribuição</x:v>
      </x:c>
      <x:c r="N372" t="str">
        <x:v>08/10/2025</x:v>
      </x:c>
      <x:c r="O372" t="str">
        <x:v>Unidade/praça MCP/MCPI; mínimo por CT-e R$ 31.54; FRETE PESO: kg × R$ 0,78848/kg (R$ 788.48/ton no campo legado).</x:v>
      </x:c>
      <x:c r="P372" t="str">
        <x:v>ORIGINAL</x:v>
      </x:c>
      <x:c r="Q372" t="str">
        <x:v>SIM</x:v>
      </x:c>
      <x:c r="R372" t="str">
        <x:v>0,20%</x:v>
      </x:c>
      <x:c r="S372" t="str">
        <x:v>NÃO</x:v>
      </x:c>
      <x:c r="T372"/>
      <x:c r="U372"/>
      <x:c r="V372" t="str">
        <x:v>SIM</x:v>
      </x:c>
      <x:c r="W372" t="str">
        <x:v>AC LOG / C VARGAS</x:v>
      </x:c>
      <x:c r="X372" t="str">
        <x:v>FRETE_PESO</x:v>
      </x:c>
      <x:c r="Y372"/>
      <x:c r="Z372" t="str">
        <x:v>2.6.44</x:v>
      </x:c>
      <x:c r="AA372" t="str">
        <x:v>Frete-peso confirmado: peso em kg × R$ 0,78848/kg. Tarifa R$/ton mantida apenas para compatibilidade estrutural.</x:v>
      </x:c>
    </x:row>
    <x:row r="373">
      <x:c r="A373" t="str">
        <x:v>ACV_REG_0012</x:v>
      </x:c>
      <x:c r="B373" t="str">
        <x:v>AC_LOG_C_VARGAS</x:v>
      </x:c>
      <x:c r="C373" t="str">
        <x:v>MCP/MCPI</x:v>
      </x:c>
      <x:c r="D373" t="str">
        <x:v>TARTARUGALZINHO</x:v>
      </x:c>
      <x:c r="E373" t="str">
        <x:v>AP</x:v>
      </x:c>
      <x:c r="F373" t="str">
        <x:v>23%</x:v>
      </x:c>
      <x:c r="G373" t="n">
        <x:v>31.54</x:v>
      </x:c>
      <x:c r="H373" t="str">
        <x:v>D5</x:v>
      </x:c>
      <x:c r="I373" t="str">
        <x:v>TABELA_AC_LOG_C_VARGAS_DISTRIBUICAO_AP_2025.pdf</x:v>
      </x:c>
      <x:c r="J373" t="str">
        <x:v>1</x:v>
      </x:c>
      <x:c r="K373" t="str">
        <x:v>REVISAR_OK</x:v>
      </x:c>
      <x:c r="L373" t="n">
        <x:v>788.48</x:v>
      </x:c>
      <x:c r="M373" t="str">
        <x:v>Rodoviário / distribuição</x:v>
      </x:c>
      <x:c r="N373" t="str">
        <x:v>08/10/2025</x:v>
      </x:c>
      <x:c r="O373" t="str">
        <x:v>Unidade/praça MCP/MCPI; mínimo por CT-e R$ 31.54; FRETE PESO: kg × R$ 0,78848/kg (R$ 788.48/ton no campo legado).</x:v>
      </x:c>
      <x:c r="P373" t="str">
        <x:v>ORIGINAL</x:v>
      </x:c>
      <x:c r="Q373" t="str">
        <x:v>SIM</x:v>
      </x:c>
      <x:c r="R373" t="str">
        <x:v>0,20%</x:v>
      </x:c>
      <x:c r="S373" t="str">
        <x:v>NÃO</x:v>
      </x:c>
      <x:c r="T373"/>
      <x:c r="U373"/>
      <x:c r="V373" t="str">
        <x:v>SIM</x:v>
      </x:c>
      <x:c r="W373" t="str">
        <x:v>AC LOG / C VARGAS</x:v>
      </x:c>
      <x:c r="X373" t="str">
        <x:v>FRETE_PESO</x:v>
      </x:c>
      <x:c r="Y373"/>
      <x:c r="Z373" t="str">
        <x:v>2.6.44</x:v>
      </x:c>
      <x:c r="AA373" t="str">
        <x:v>Frete-peso confirmado: peso em kg × R$ 0,78848/kg. Tarifa R$/ton mantida apenas para compatibilidade estrutural.</x:v>
      </x:c>
    </x:row>
    <x:row r="374">
      <x:c r="A374" t="str">
        <x:v>ACV_REG_0013</x:v>
      </x:c>
      <x:c r="B374" t="str">
        <x:v>AC_LOG_C_VARGAS</x:v>
      </x:c>
      <x:c r="C374" t="str">
        <x:v>MCP/MCPI</x:v>
      </x:c>
      <x:c r="D374" t="str">
        <x:v>AFUA</x:v>
      </x:c>
      <x:c r="E374" t="str">
        <x:v>PA</x:v>
      </x:c>
      <x:c r="F374" t="str">
        <x:v>23%</x:v>
      </x:c>
      <x:c r="G374" t="n">
        <x:v>33.64</x:v>
      </x:c>
      <x:c r="H374" t="str">
        <x:v>D5</x:v>
      </x:c>
      <x:c r="I374" t="str">
        <x:v>TABELA_AC_LOG_C_VARGAS_DISTRIBUICAO_AP_2025.pdf</x:v>
      </x:c>
      <x:c r="J374" t="str">
        <x:v>1</x:v>
      </x:c>
      <x:c r="K374" t="str">
        <x:v>REVISAR_OK</x:v>
      </x:c>
      <x:c r="L374" t="n">
        <x:v>841.04</x:v>
      </x:c>
      <x:c r="M374" t="str">
        <x:v>Rodoviário / distribuição</x:v>
      </x:c>
      <x:c r="N374" t="str">
        <x:v>08/10/2025</x:v>
      </x:c>
      <x:c r="O374" t="str">
        <x:v>Unidade/praça MCP/MCPI; mínimo por CT-e R$ 33.64; FRETE PESO: kg × R$ 0,84104/kg (R$ 841.04/ton no campo legado).</x:v>
      </x:c>
      <x:c r="P374" t="str">
        <x:v>ORIGINAL</x:v>
      </x:c>
      <x:c r="Q374" t="str">
        <x:v>SIM</x:v>
      </x:c>
      <x:c r="R374" t="str">
        <x:v>0,20%</x:v>
      </x:c>
      <x:c r="S374" t="str">
        <x:v>NÃO</x:v>
      </x:c>
      <x:c r="T374"/>
      <x:c r="U374"/>
      <x:c r="V374" t="str">
        <x:v>SIM</x:v>
      </x:c>
      <x:c r="W374" t="str">
        <x:v>AC LOG / C VARGAS</x:v>
      </x:c>
      <x:c r="X374" t="str">
        <x:v>FRETE_PESO</x:v>
      </x:c>
      <x:c r="Y374"/>
      <x:c r="Z374" t="str">
        <x:v>2.6.44</x:v>
      </x:c>
      <x:c r="AA374" t="str">
        <x:v>Frete-peso confirmado: peso em kg × R$ 0,84104/kg. Tarifa R$/ton mantida apenas para compatibilidade estrutural.</x:v>
      </x:c>
    </x:row>
    <x:row r="375">
      <x:c r="A375" t="str">
        <x:v>ACV_REG_0014</x:v>
      </x:c>
      <x:c r="B375" t="str">
        <x:v>AC_LOG_C_VARGAS</x:v>
      </x:c>
      <x:c r="C375" t="str">
        <x:v>MCP/MCPI</x:v>
      </x:c>
      <x:c r="D375" t="str">
        <x:v>CHAVES</x:v>
      </x:c>
      <x:c r="E375" t="str">
        <x:v>PA</x:v>
      </x:c>
      <x:c r="F375" t="str">
        <x:v>23%</x:v>
      </x:c>
      <x:c r="G375" t="n">
        <x:v>33.64</x:v>
      </x:c>
      <x:c r="H375" t="str">
        <x:v>D7</x:v>
      </x:c>
      <x:c r="I375" t="str">
        <x:v>TABELA_AC_LOG_C_VARGAS_DISTRIBUICAO_AP_2025.pdf</x:v>
      </x:c>
      <x:c r="J375" t="str">
        <x:v>1</x:v>
      </x:c>
      <x:c r="K375" t="str">
        <x:v>REVISAR_OK</x:v>
      </x:c>
      <x:c r="L375" t="n">
        <x:v>841.04</x:v>
      </x:c>
      <x:c r="M375" t="str">
        <x:v>Rodoviário / distribuição</x:v>
      </x:c>
      <x:c r="N375" t="str">
        <x:v>08/10/2025</x:v>
      </x:c>
      <x:c r="O375" t="str">
        <x:v>Unidade/praça MCP/MCPI; mínimo por CT-e R$ 33.64; FRETE PESO: kg × R$ 0,84104/kg (R$ 841.04/ton no campo legado).</x:v>
      </x:c>
      <x:c r="P375" t="str">
        <x:v>ORIGINAL</x:v>
      </x:c>
      <x:c r="Q375" t="str">
        <x:v>SIM</x:v>
      </x:c>
      <x:c r="R375" t="str">
        <x:v>0,20%</x:v>
      </x:c>
      <x:c r="S375" t="str">
        <x:v>NÃO</x:v>
      </x:c>
      <x:c r="T375"/>
      <x:c r="U375"/>
      <x:c r="V375" t="str">
        <x:v>SIM</x:v>
      </x:c>
      <x:c r="W375" t="str">
        <x:v>AC LOG / C VARGAS</x:v>
      </x:c>
      <x:c r="X375" t="str">
        <x:v>FRETE_PESO</x:v>
      </x:c>
      <x:c r="Y375"/>
      <x:c r="Z375" t="str">
        <x:v>2.6.44</x:v>
      </x:c>
      <x:c r="AA375" t="str">
        <x:v>Frete-peso confirmado: peso em kg × R$ 0,84104/kg. Tarifa R$/ton mantida apenas para compatibilidade estrutural.</x:v>
      </x:c>
    </x:row>
    <x:row r="376">
      <x:c r="A376" t="str">
        <x:v>ACV_REG_0015</x:v>
      </x:c>
      <x:c r="B376" t="str">
        <x:v>AC_LOG_C_VARGAS</x:v>
      </x:c>
      <x:c r="C376" t="str">
        <x:v>MCP/MCPI</x:v>
      </x:c>
      <x:c r="D376" t="str">
        <x:v>PEDRA BRANCA DO AMAPARI</x:v>
      </x:c>
      <x:c r="E376" t="str">
        <x:v>AP</x:v>
      </x:c>
      <x:c r="F376" t="str">
        <x:v>23%</x:v>
      </x:c>
      <x:c r="G376" t="n">
        <x:v>33.64</x:v>
      </x:c>
      <x:c r="H376" t="str">
        <x:v>D5</x:v>
      </x:c>
      <x:c r="I376" t="str">
        <x:v>TABELA_AC_LOG_C_VARGAS_DISTRIBUICAO_AP_2025.pdf</x:v>
      </x:c>
      <x:c r="J376" t="str">
        <x:v>1</x:v>
      </x:c>
      <x:c r="K376" t="str">
        <x:v>REVISAR_OK</x:v>
      </x:c>
      <x:c r="L376" t="n">
        <x:v>841.04</x:v>
      </x:c>
      <x:c r="M376" t="str">
        <x:v>Rodoviário / distribuição</x:v>
      </x:c>
      <x:c r="N376" t="str">
        <x:v>08/10/2025</x:v>
      </x:c>
      <x:c r="O376" t="str">
        <x:v>Unidade/praça MCP/MCPI; mínimo por CT-e R$ 33.64; FRETE PESO: kg × R$ 0,84104/kg (R$ 841.04/ton no campo legado).</x:v>
      </x:c>
      <x:c r="P376" t="str">
        <x:v>ORIGINAL</x:v>
      </x:c>
      <x:c r="Q376" t="str">
        <x:v>SIM</x:v>
      </x:c>
      <x:c r="R376" t="str">
        <x:v>0,20%</x:v>
      </x:c>
      <x:c r="S376" t="str">
        <x:v>NÃO</x:v>
      </x:c>
      <x:c r="T376"/>
      <x:c r="U376"/>
      <x:c r="V376" t="str">
        <x:v>SIM</x:v>
      </x:c>
      <x:c r="W376" t="str">
        <x:v>AC LOG / C VARGAS</x:v>
      </x:c>
      <x:c r="X376" t="str">
        <x:v>FRETE_PESO</x:v>
      </x:c>
      <x:c r="Y376"/>
      <x:c r="Z376" t="str">
        <x:v>2.6.44</x:v>
      </x:c>
      <x:c r="AA376" t="str">
        <x:v>Frete-peso confirmado: peso em kg × R$ 0,84104/kg. Tarifa R$/ton mantida apenas para compatibilidade estrutural.</x:v>
      </x:c>
    </x:row>
    <x:row r="377">
      <x:c r="A377" t="str">
        <x:v>ACV_REG_0016</x:v>
      </x:c>
      <x:c r="B377" t="str">
        <x:v>AC_LOG_C_VARGAS</x:v>
      </x:c>
      <x:c r="C377" t="str">
        <x:v>MCP/MCPI</x:v>
      </x:c>
      <x:c r="D377" t="str">
        <x:v>SERRA DO NAVIO</x:v>
      </x:c>
      <x:c r="E377" t="str">
        <x:v>AP</x:v>
      </x:c>
      <x:c r="F377" t="str">
        <x:v>23%</x:v>
      </x:c>
      <x:c r="G377" t="n">
        <x:v>33.64</x:v>
      </x:c>
      <x:c r="H377" t="str">
        <x:v>D5</x:v>
      </x:c>
      <x:c r="I377" t="str">
        <x:v>TABELA_AC_LOG_C_VARGAS_DISTRIBUICAO_AP_2025.pdf</x:v>
      </x:c>
      <x:c r="J377" t="str">
        <x:v>1</x:v>
      </x:c>
      <x:c r="K377" t="str">
        <x:v>REVISAR_OK</x:v>
      </x:c>
      <x:c r="L377" t="n">
        <x:v>841.04</x:v>
      </x:c>
      <x:c r="M377" t="str">
        <x:v>Rodoviário / distribuição</x:v>
      </x:c>
      <x:c r="N377" t="str">
        <x:v>08/10/2025</x:v>
      </x:c>
      <x:c r="O377" t="str">
        <x:v>Unidade/praça MCP/MCPI; mínimo por CT-e R$ 33.64; FRETE PESO: kg × R$ 0,84104/kg (R$ 841.04/ton no campo legado).</x:v>
      </x:c>
      <x:c r="P377" t="str">
        <x:v>ORIGINAL</x:v>
      </x:c>
      <x:c r="Q377" t="str">
        <x:v>SIM</x:v>
      </x:c>
      <x:c r="R377" t="str">
        <x:v>0,20%</x:v>
      </x:c>
      <x:c r="S377" t="str">
        <x:v>NÃO</x:v>
      </x:c>
      <x:c r="T377"/>
      <x:c r="U377"/>
      <x:c r="V377" t="str">
        <x:v>SIM</x:v>
      </x:c>
      <x:c r="W377" t="str">
        <x:v>AC LOG / C VARGAS</x:v>
      </x:c>
      <x:c r="X377" t="str">
        <x:v>FRETE_PESO</x:v>
      </x:c>
      <x:c r="Y377"/>
      <x:c r="Z377" t="str">
        <x:v>2.6.44</x:v>
      </x:c>
      <x:c r="AA377" t="str">
        <x:v>Frete-peso confirmado: peso em kg × R$ 0,84104/kg. Tarifa R$/ton mantida apenas para compatibilidade estrutural.</x:v>
      </x:c>
    </x:row>
    <x:row r="378">
      <x:c r="A378" t="str">
        <x:v>ACV_REG_0017</x:v>
      </x:c>
      <x:c r="B378" t="str">
        <x:v>AC_LOG_C_VARGAS</x:v>
      </x:c>
      <x:c r="C378" t="str">
        <x:v>MCP/MCPP</x:v>
      </x:c>
      <x:c r="D378" t="str">
        <x:v>MACAPA</x:v>
      </x:c>
      <x:c r="E378" t="str">
        <x:v>AP</x:v>
      </x:c>
      <x:c r="F378" t="str">
        <x:v>20%</x:v>
      </x:c>
      <x:c r="G378" t="n">
        <x:v>28.39</x:v>
      </x:c>
      <x:c r="H378" t="str">
        <x:v>D2</x:v>
      </x:c>
      <x:c r="I378" t="str">
        <x:v>TABELA_AC_LOG_C_VARGAS_DISTRIBUICAO_AP_2025.pdf</x:v>
      </x:c>
      <x:c r="J378" t="str">
        <x:v>1</x:v>
      </x:c>
      <x:c r="K378" t="str">
        <x:v>REVISAR_OK</x:v>
      </x:c>
      <x:c r="L378" t="n">
        <x:v>367.96</x:v>
      </x:c>
      <x:c r="M378" t="str">
        <x:v>Rodoviário / distribuição</x:v>
      </x:c>
      <x:c r="N378" t="str">
        <x:v>08/10/2025</x:v>
      </x:c>
      <x:c r="O378" t="str">
        <x:v>Unidade/praça MCP/MCPP; mínimo por CT-e R$ 28.39; FRETE PESO: kg × R$ 0,36796/kg (R$ 367.96/ton no campo legado).</x:v>
      </x:c>
      <x:c r="P378" t="str">
        <x:v>ORIGINAL</x:v>
      </x:c>
      <x:c r="Q378" t="str">
        <x:v>SIM</x:v>
      </x:c>
      <x:c r="R378" t="str">
        <x:v>0,20%</x:v>
      </x:c>
      <x:c r="S378" t="str">
        <x:v>NÃO</x:v>
      </x:c>
      <x:c r="T378"/>
      <x:c r="U378"/>
      <x:c r="V378" t="str">
        <x:v>SIM</x:v>
      </x:c>
      <x:c r="W378" t="str">
        <x:v>AC LOG / C VARGAS</x:v>
      </x:c>
      <x:c r="X378" t="str">
        <x:v>FRETE_PESO</x:v>
      </x:c>
      <x:c r="Y378"/>
      <x:c r="Z378" t="str">
        <x:v>2.6.44</x:v>
      </x:c>
      <x:c r="AA378" t="str">
        <x:v>Frete-peso confirmado: peso em kg × R$ 0,36796/kg. Tarifa R$/ton mantida apenas para compatibilidade estrutural.</x:v>
      </x:c>
    </x:row>
    <x:row r="379">
      <x:c r="A379" t="str">
        <x:v>ACV_REG_0018</x:v>
      </x:c>
      <x:c r="B379" t="str">
        <x:v>AC_LOG_C_VARGAS</x:v>
      </x:c>
      <x:c r="C379" t="str">
        <x:v>MCP/MCPP</x:v>
      </x:c>
      <x:c r="D379" t="str">
        <x:v>SANTANA</x:v>
      </x:c>
      <x:c r="E379" t="str">
        <x:v>AP</x:v>
      </x:c>
      <x:c r="F379" t="str">
        <x:v>20%</x:v>
      </x:c>
      <x:c r="G379" t="n">
        <x:v>28.39</x:v>
      </x:c>
      <x:c r="H379" t="str">
        <x:v>D2</x:v>
      </x:c>
      <x:c r="I379" t="str">
        <x:v>TABELA_AC_LOG_C_VARGAS_DISTRIBUICAO_AP_2025.pdf</x:v>
      </x:c>
      <x:c r="J379" t="str">
        <x:v>1</x:v>
      </x:c>
      <x:c r="K379" t="str">
        <x:v>REVISAR_OK</x:v>
      </x:c>
      <x:c r="L379" t="n">
        <x:v>367.96</x:v>
      </x:c>
      <x:c r="M379" t="str">
        <x:v>Rodoviário / distribuição</x:v>
      </x:c>
      <x:c r="N379" t="str">
        <x:v>08/10/2025</x:v>
      </x:c>
      <x:c r="O379" t="str">
        <x:v>Unidade/praça MCP/MCPP; mínimo por CT-e R$ 28.39; FRETE PESO: kg × R$ 0,36796/kg (R$ 367.96/ton no campo legado).</x:v>
      </x:c>
      <x:c r="P379" t="str">
        <x:v>ORIGINAL</x:v>
      </x:c>
      <x:c r="Q379" t="str">
        <x:v>SIM</x:v>
      </x:c>
      <x:c r="R379" t="str">
        <x:v>0,20%</x:v>
      </x:c>
      <x:c r="S379" t="str">
        <x:v>NÃO</x:v>
      </x:c>
      <x:c r="T379"/>
      <x:c r="U379"/>
      <x:c r="V379" t="str">
        <x:v>SIM</x:v>
      </x:c>
      <x:c r="W379" t="str">
        <x:v>AC LOG / C VARGAS</x:v>
      </x:c>
      <x:c r="X379" t="str">
        <x:v>FRETE_PESO</x:v>
      </x:c>
      <x:c r="Y379"/>
      <x:c r="Z379" t="str">
        <x:v>2.6.44</x:v>
      </x:c>
      <x:c r="AA379" t="str">
        <x:v>Frete-peso confirmado: peso em kg × R$ 0,36796/kg. Tarifa R$/ton mantida apenas para compatibilidade estrutural.</x:v>
      </x:c>
    </x:row>
    <x:row r="380">
      <x:c r="A380" t="str">
        <x:v>ACV_REG_0019</x:v>
      </x:c>
      <x:c r="B380" t="str">
        <x:v>AC_LOG_C_VARGAS</x:v>
      </x:c>
      <x:c r="C380" t="str">
        <x:v>OPQ/OPQP</x:v>
      </x:c>
      <x:c r="D380" t="str">
        <x:v>OIAPOQUE</x:v>
      </x:c>
      <x:c r="E380" t="str">
        <x:v>AP</x:v>
      </x:c>
      <x:c r="F380" t="str">
        <x:v>23%</x:v>
      </x:c>
      <x:c r="G380" t="n">
        <x:v>36.8</x:v>
      </x:c>
      <x:c r="H380" t="str">
        <x:v>4+2</x:v>
      </x:c>
      <x:c r="I380" t="str">
        <x:v>TABELA_AC_LOG_C_VARGAS_DISTRIBUICAO_AP_2025.pdf</x:v>
      </x:c>
      <x:c r="J380" t="str">
        <x:v>1</x:v>
      </x:c>
      <x:c r="K380" t="str">
        <x:v>REVISAR_OK</x:v>
      </x:c>
      <x:c r="L380" t="n">
        <x:v>1103.87</x:v>
      </x:c>
      <x:c r="M380" t="str">
        <x:v>Rodoviário / distribuição</x:v>
      </x:c>
      <x:c r="N380" t="str">
        <x:v>08/10/2025</x:v>
      </x:c>
      <x:c r="O380" t="str">
        <x:v>Unidade/praça OPQ/OPQP; mínimo por CT-e R$ 36.80; FRETE PESO: kg × R$ 1,10387/kg (R$ 1103.87/ton no campo legado).</x:v>
      </x:c>
      <x:c r="P380" t="str">
        <x:v>ORIGINAL</x:v>
      </x:c>
      <x:c r="Q380" t="str">
        <x:v>SIM</x:v>
      </x:c>
      <x:c r="R380" t="str">
        <x:v>0,20%</x:v>
      </x:c>
      <x:c r="S380" t="str">
        <x:v>NÃO</x:v>
      </x:c>
      <x:c r="T380"/>
      <x:c r="U380"/>
      <x:c r="V380" t="str">
        <x:v>SIM</x:v>
      </x:c>
      <x:c r="W380" t="str">
        <x:v>AC LOG / C VARGAS</x:v>
      </x:c>
      <x:c r="X380" t="str">
        <x:v>FRETE_PESO</x:v>
      </x:c>
      <x:c r="Y380"/>
      <x:c r="Z380" t="str">
        <x:v>2.6.44</x:v>
      </x:c>
      <x:c r="AA380" t="str">
        <x:v>Frete-peso confirmado: peso em kg × R$ 1,10387/kg. Tarifa R$/ton mantida apenas para compatibilidade estrutural.</x:v>
      </x:c>
    </x:row>
    <x:row r="381">
      <x:c r="A381" t="str">
        <x:v>MMT_REG_0001</x:v>
      </x:c>
      <x:c r="B381" t="str">
        <x:v>M_M_TRANSPORTES</x:v>
      </x:c>
      <x:c r="C381" t="str">
        <x:v>ROTA1_MARABA_PA</x:v>
      </x:c>
      <x:c r="D381" t="str">
        <x:v>PALESTINA DO PARA</x:v>
      </x:c>
      <x:c r="E381" t="str">
        <x:v>PA</x:v>
      </x:c>
      <x:c r="F381" t="str">
        <x:v>35%</x:v>
      </x:c>
      <x:c r="G381" t="n">
        <x:v>70</x:v>
      </x:c>
      <x:c r="H381" t="str">
        <x:v>D+1</x:v>
      </x:c>
      <x:c r="I381" t="str">
        <x:v>TABELA_M_E_M_TRANSPORTES_ROTA1_2026.pdf</x:v>
      </x:c>
      <x:c r="J381" t="str">
        <x:v>1</x:v>
      </x:c>
      <x:c r="K381" t="str">
        <x:v>REVISAR_OK</x:v>
      </x:c>
      <x:c r="L381"/>
      <x:c r="M381" t="str">
        <x:v>Rodoviário / distribuição</x:v>
      </x:c>
      <x:c r="N381"/>
      <x:c r="O381" t="str">
        <x:v>PALESTINA DO PARA: 35% do frete original, mínimo R$ 70,00; saídas de terça a sábado; prazo D+1.</x:v>
      </x:c>
      <x:c r="P381" t="str">
        <x:v>ORIGINAL</x:v>
      </x:c>
      <x:c r="Q381" t="str">
        <x:v>NÃO</x:v>
      </x:c>
      <x:c r="R381"/>
      <x:c r="S381" t="str">
        <x:v>NÃO</x:v>
      </x:c>
      <x:c r="T381"/>
      <x:c r="U381"/>
      <x:c r="V381" t="str">
        <x:v>SIM</x:v>
      </x:c>
      <x:c r="W381" t="str">
        <x:v>M E M TRANSPORTES LTDA</x:v>
      </x:c>
      <x:c r="X381" t="str">
        <x:v>PERCENTUAL</x:v>
      </x:c>
      <x:c r="Y381"/>
      <x:c r="Z381" t="str">
        <x:v>2.6.44</x:v>
      </x:c>
      <x:c r="AA381" t="str">
        <x:v>Regra exata por município; origem operacional Marabá/PA.</x:v>
      </x:c>
    </x:row>
    <x:row r="382">
      <x:c r="A382" t="str">
        <x:v>MMT_REG_0002</x:v>
      </x:c>
      <x:c r="B382" t="str">
        <x:v>M_M_TRANSPORTES</x:v>
      </x:c>
      <x:c r="C382" t="str">
        <x:v>ROTA1_MARABA_PA</x:v>
      </x:c>
      <x:c r="D382" t="str">
        <x:v>VILA SORORO</x:v>
      </x:c>
      <x:c r="E382" t="str">
        <x:v>PA</x:v>
      </x:c>
      <x:c r="F382" t="str">
        <x:v>35%</x:v>
      </x:c>
      <x:c r="G382" t="n">
        <x:v>70</x:v>
      </x:c>
      <x:c r="H382" t="str">
        <x:v>D+1</x:v>
      </x:c>
      <x:c r="I382" t="str">
        <x:v>TABELA_M_E_M_TRANSPORTES_ROTA1_2026.pdf</x:v>
      </x:c>
      <x:c r="J382" t="str">
        <x:v>1</x:v>
      </x:c>
      <x:c r="K382" t="str">
        <x:v>REVISAR_OK</x:v>
      </x:c>
      <x:c r="L382"/>
      <x:c r="M382" t="str">
        <x:v>Rodoviário / distribuição</x:v>
      </x:c>
      <x:c r="N382"/>
      <x:c r="O382" t="str">
        <x:v>VILA SORORO: 35% do frete original, mínimo R$ 70,00; saídas de terça a sábado; prazo D+1.</x:v>
      </x:c>
      <x:c r="P382" t="str">
        <x:v>ORIGINAL</x:v>
      </x:c>
      <x:c r="Q382" t="str">
        <x:v>NÃO</x:v>
      </x:c>
      <x:c r="R382"/>
      <x:c r="S382" t="str">
        <x:v>NÃO</x:v>
      </x:c>
      <x:c r="T382"/>
      <x:c r="U382"/>
      <x:c r="V382" t="str">
        <x:v>SIM</x:v>
      </x:c>
      <x:c r="W382" t="str">
        <x:v>M E M TRANSPORTES LTDA</x:v>
      </x:c>
      <x:c r="X382" t="str">
        <x:v>PERCENTUAL</x:v>
      </x:c>
      <x:c r="Y382"/>
      <x:c r="Z382" t="str">
        <x:v>2.6.44</x:v>
      </x:c>
      <x:c r="AA382" t="str">
        <x:v>Regra exata por município; origem operacional Marabá/PA.</x:v>
      </x:c>
    </x:row>
    <x:row r="383">
      <x:c r="A383" t="str">
        <x:v>MMT_REG_0003</x:v>
      </x:c>
      <x:c r="B383" t="str">
        <x:v>M_M_TRANSPORTES</x:v>
      </x:c>
      <x:c r="C383" t="str">
        <x:v>ROTA1_MARABA_PA</x:v>
      </x:c>
      <x:c r="D383" t="str">
        <x:v>BREJO GRANDE DO ARAGUAIA</x:v>
      </x:c>
      <x:c r="E383" t="str">
        <x:v>PA</x:v>
      </x:c>
      <x:c r="F383" t="str">
        <x:v>35%</x:v>
      </x:c>
      <x:c r="G383" t="n">
        <x:v>70</x:v>
      </x:c>
      <x:c r="H383" t="str">
        <x:v>D+1</x:v>
      </x:c>
      <x:c r="I383" t="str">
        <x:v>TABELA_M_E_M_TRANSPORTES_ROTA1_2026.pdf</x:v>
      </x:c>
      <x:c r="J383" t="str">
        <x:v>1</x:v>
      </x:c>
      <x:c r="K383" t="str">
        <x:v>REVISAR_OK</x:v>
      </x:c>
      <x:c r="L383"/>
      <x:c r="M383" t="str">
        <x:v>Rodoviário / distribuição</x:v>
      </x:c>
      <x:c r="N383"/>
      <x:c r="O383" t="str">
        <x:v>BREJO GRANDE DO ARAGUAIA: 35% do frete original, mínimo R$ 70,00; saídas de terça a sábado; prazo D+1.</x:v>
      </x:c>
      <x:c r="P383" t="str">
        <x:v>ORIGINAL</x:v>
      </x:c>
      <x:c r="Q383" t="str">
        <x:v>NÃO</x:v>
      </x:c>
      <x:c r="R383"/>
      <x:c r="S383" t="str">
        <x:v>NÃO</x:v>
      </x:c>
      <x:c r="T383"/>
      <x:c r="U383"/>
      <x:c r="V383" t="str">
        <x:v>SIM</x:v>
      </x:c>
      <x:c r="W383" t="str">
        <x:v>M E M TRANSPORTES LTDA</x:v>
      </x:c>
      <x:c r="X383" t="str">
        <x:v>PERCENTUAL</x:v>
      </x:c>
      <x:c r="Y383"/>
      <x:c r="Z383" t="str">
        <x:v>2.6.44</x:v>
      </x:c>
      <x:c r="AA383" t="str">
        <x:v>Regra exata por município; origem operacional Marabá/PA.</x:v>
      </x:c>
    </x:row>
    <x:row r="384">
      <x:c r="A384" t="str">
        <x:v>MMT_REG_0004</x:v>
      </x:c>
      <x:c r="B384" t="str">
        <x:v>M_M_TRANSPORTES</x:v>
      </x:c>
      <x:c r="C384" t="str">
        <x:v>ROTA1_MARABA_PA</x:v>
      </x:c>
      <x:c r="D384" t="str">
        <x:v>ELDORADO DO CARAJAS</x:v>
      </x:c>
      <x:c r="E384" t="str">
        <x:v>PA</x:v>
      </x:c>
      <x:c r="F384" t="str">
        <x:v>35%</x:v>
      </x:c>
      <x:c r="G384" t="n">
        <x:v>70</x:v>
      </x:c>
      <x:c r="H384" t="str">
        <x:v>D+1</x:v>
      </x:c>
      <x:c r="I384" t="str">
        <x:v>TABELA_M_E_M_TRANSPORTES_ROTA1_2026.pdf</x:v>
      </x:c>
      <x:c r="J384" t="str">
        <x:v>1</x:v>
      </x:c>
      <x:c r="K384" t="str">
        <x:v>REVISAR_OK</x:v>
      </x:c>
      <x:c r="L384"/>
      <x:c r="M384" t="str">
        <x:v>Rodoviário / distribuição</x:v>
      </x:c>
      <x:c r="N384"/>
      <x:c r="O384" t="str">
        <x:v>ELDORADO DO CARAJAS: 35% do frete original, mínimo R$ 70,00; saídas de terça a sábado; prazo D+1.</x:v>
      </x:c>
      <x:c r="P384" t="str">
        <x:v>ORIGINAL</x:v>
      </x:c>
      <x:c r="Q384" t="str">
        <x:v>NÃO</x:v>
      </x:c>
      <x:c r="R384"/>
      <x:c r="S384" t="str">
        <x:v>NÃO</x:v>
      </x:c>
      <x:c r="T384"/>
      <x:c r="U384"/>
      <x:c r="V384" t="str">
        <x:v>SIM</x:v>
      </x:c>
      <x:c r="W384" t="str">
        <x:v>M E M TRANSPORTES LTDA</x:v>
      </x:c>
      <x:c r="X384" t="str">
        <x:v>PERCENTUAL</x:v>
      </x:c>
      <x:c r="Y384"/>
      <x:c r="Z384" t="str">
        <x:v>2.6.44</x:v>
      </x:c>
      <x:c r="AA384" t="str">
        <x:v>Regra exata por município; origem operacional Marabá/PA.</x:v>
      </x:c>
    </x:row>
    <x:row r="385">
      <x:c r="A385" t="str">
        <x:v>MMT_REG_0005</x:v>
      </x:c>
      <x:c r="B385" t="str">
        <x:v>M_M_TRANSPORTES</x:v>
      </x:c>
      <x:c r="C385" t="str">
        <x:v>ROTA1_MARABA_PA</x:v>
      </x:c>
      <x:c r="D385" t="str">
        <x:v>SAO DOMINGOS DO ARAGUAIA</x:v>
      </x:c>
      <x:c r="E385" t="str">
        <x:v>PA</x:v>
      </x:c>
      <x:c r="F385" t="str">
        <x:v>35%</x:v>
      </x:c>
      <x:c r="G385" t="n">
        <x:v>70</x:v>
      </x:c>
      <x:c r="H385" t="str">
        <x:v>D+1</x:v>
      </x:c>
      <x:c r="I385" t="str">
        <x:v>TABELA_M_E_M_TRANSPORTES_ROTA1_2026.pdf</x:v>
      </x:c>
      <x:c r="J385" t="str">
        <x:v>1</x:v>
      </x:c>
      <x:c r="K385" t="str">
        <x:v>REVISAR_OK</x:v>
      </x:c>
      <x:c r="L385"/>
      <x:c r="M385" t="str">
        <x:v>Rodoviário / distribuição</x:v>
      </x:c>
      <x:c r="N385"/>
      <x:c r="O385" t="str">
        <x:v>SAO DOMINGOS DO ARAGUAIA: 35% do frete original, mínimo R$ 70,00; saídas de terça a sábado; prazo D+1.</x:v>
      </x:c>
      <x:c r="P385" t="str">
        <x:v>ORIGINAL</x:v>
      </x:c>
      <x:c r="Q385" t="str">
        <x:v>NÃO</x:v>
      </x:c>
      <x:c r="R385"/>
      <x:c r="S385" t="str">
        <x:v>NÃO</x:v>
      </x:c>
      <x:c r="T385"/>
      <x:c r="U385"/>
      <x:c r="V385" t="str">
        <x:v>SIM</x:v>
      </x:c>
      <x:c r="W385" t="str">
        <x:v>M E M TRANSPORTES LTDA</x:v>
      </x:c>
      <x:c r="X385" t="str">
        <x:v>PERCENTUAL</x:v>
      </x:c>
      <x:c r="Y385"/>
      <x:c r="Z385" t="str">
        <x:v>2.6.44</x:v>
      </x:c>
      <x:c r="AA385" t="str">
        <x:v>Regra exata por município; origem operacional Marabá/PA.</x:v>
      </x:c>
    </x:row>
    <x:row r="386">
      <x:c r="A386" t="str">
        <x:v>MMT_REG_0006</x:v>
      </x:c>
      <x:c r="B386" t="str">
        <x:v>M_M_TRANSPORTES</x:v>
      </x:c>
      <x:c r="C386" t="str">
        <x:v>ROTA1_MARABA_PA</x:v>
      </x:c>
      <x:c r="D386" t="str">
        <x:v>CURIONOPOLIS</x:v>
      </x:c>
      <x:c r="E386" t="str">
        <x:v>PA</x:v>
      </x:c>
      <x:c r="F386" t="str">
        <x:v>35%</x:v>
      </x:c>
      <x:c r="G386" t="n">
        <x:v>70</x:v>
      </x:c>
      <x:c r="H386" t="str">
        <x:v>D+1</x:v>
      </x:c>
      <x:c r="I386" t="str">
        <x:v>TABELA_M_E_M_TRANSPORTES_ROTA1_2026.pdf</x:v>
      </x:c>
      <x:c r="J386" t="str">
        <x:v>1</x:v>
      </x:c>
      <x:c r="K386" t="str">
        <x:v>REVISAR_OK</x:v>
      </x:c>
      <x:c r="L386"/>
      <x:c r="M386" t="str">
        <x:v>Rodoviário / distribuição</x:v>
      </x:c>
      <x:c r="N386"/>
      <x:c r="O386" t="str">
        <x:v>CURIONOPOLIS: 35% do frete original, mínimo R$ 70,00; saídas de terça a sábado; prazo D+1.</x:v>
      </x:c>
      <x:c r="P386" t="str">
        <x:v>ORIGINAL</x:v>
      </x:c>
      <x:c r="Q386" t="str">
        <x:v>NÃO</x:v>
      </x:c>
      <x:c r="R386"/>
      <x:c r="S386" t="str">
        <x:v>NÃO</x:v>
      </x:c>
      <x:c r="T386"/>
      <x:c r="U386"/>
      <x:c r="V386" t="str">
        <x:v>SIM</x:v>
      </x:c>
      <x:c r="W386" t="str">
        <x:v>M E M TRANSPORTES LTDA</x:v>
      </x:c>
      <x:c r="X386" t="str">
        <x:v>PERCENTUAL</x:v>
      </x:c>
      <x:c r="Y386"/>
      <x:c r="Z386" t="str">
        <x:v>2.6.44</x:v>
      </x:c>
      <x:c r="AA386" t="str">
        <x:v>Regra exata por município; origem operacional Marabá/PA.</x:v>
      </x:c>
    </x:row>
    <x:row r="387">
      <x:c r="A387" t="str">
        <x:v>MMT_REG_0007</x:v>
      </x:c>
      <x:c r="B387" t="str">
        <x:v>M_M_TRANSPORTES</x:v>
      </x:c>
      <x:c r="C387" t="str">
        <x:v>ROTA1_MARABA_PA</x:v>
      </x:c>
      <x:c r="D387" t="str">
        <x:v>SAO GERALDO DO ARAGUAIA</x:v>
      </x:c>
      <x:c r="E387" t="str">
        <x:v>PA</x:v>
      </x:c>
      <x:c r="F387" t="str">
        <x:v>35%</x:v>
      </x:c>
      <x:c r="G387" t="n">
        <x:v>70</x:v>
      </x:c>
      <x:c r="H387" t="str">
        <x:v>D+1</x:v>
      </x:c>
      <x:c r="I387" t="str">
        <x:v>TABELA_M_E_M_TRANSPORTES_ROTA1_2026.pdf</x:v>
      </x:c>
      <x:c r="J387" t="str">
        <x:v>1</x:v>
      </x:c>
      <x:c r="K387" t="str">
        <x:v>REVISAR_OK</x:v>
      </x:c>
      <x:c r="L387"/>
      <x:c r="M387" t="str">
        <x:v>Rodoviário / distribuição</x:v>
      </x:c>
      <x:c r="N387"/>
      <x:c r="O387" t="str">
        <x:v>SAO GERALDO DO ARAGUAIA: 35% do frete original, mínimo R$ 70,00; saídas de terça a sábado; prazo D+1.</x:v>
      </x:c>
      <x:c r="P387" t="str">
        <x:v>ORIGINAL</x:v>
      </x:c>
      <x:c r="Q387" t="str">
        <x:v>NÃO</x:v>
      </x:c>
      <x:c r="R387"/>
      <x:c r="S387" t="str">
        <x:v>NÃO</x:v>
      </x:c>
      <x:c r="T387"/>
      <x:c r="U387"/>
      <x:c r="V387" t="str">
        <x:v>SIM</x:v>
      </x:c>
      <x:c r="W387" t="str">
        <x:v>M E M TRANSPORTES LTDA</x:v>
      </x:c>
      <x:c r="X387" t="str">
        <x:v>PERCENTUAL</x:v>
      </x:c>
      <x:c r="Y387"/>
      <x:c r="Z387" t="str">
        <x:v>2.6.44</x:v>
      </x:c>
      <x:c r="AA387" t="str">
        <x:v>Regra exata por município; origem operacional Marabá/PA.</x:v>
      </x:c>
    </x:row>
    <x:row r="388">
      <x:c r="A388" t="str">
        <x:v>MMT_REG_0008</x:v>
      </x:c>
      <x:c r="B388" t="str">
        <x:v>M_M_TRANSPORTES</x:v>
      </x:c>
      <x:c r="C388" t="str">
        <x:v>ROTA1_MARABA_PA</x:v>
      </x:c>
      <x:c r="D388" t="str">
        <x:v>PARAUAPEBAS</x:v>
      </x:c>
      <x:c r="E388" t="str">
        <x:v>PA</x:v>
      </x:c>
      <x:c r="F388" t="str">
        <x:v>35%</x:v>
      </x:c>
      <x:c r="G388" t="n">
        <x:v>70</x:v>
      </x:c>
      <x:c r="H388" t="str">
        <x:v>D+1</x:v>
      </x:c>
      <x:c r="I388" t="str">
        <x:v>TABELA_M_E_M_TRANSPORTES_ROTA1_2026.pdf</x:v>
      </x:c>
      <x:c r="J388" t="str">
        <x:v>1</x:v>
      </x:c>
      <x:c r="K388" t="str">
        <x:v>REVISAR_OK</x:v>
      </x:c>
      <x:c r="L388"/>
      <x:c r="M388" t="str">
        <x:v>Rodoviário / distribuição</x:v>
      </x:c>
      <x:c r="N388"/>
      <x:c r="O388" t="str">
        <x:v>PARAUAPEBAS: 35% do frete original, mínimo R$ 70,00; saídas de terça a sábado; prazo D+1.</x:v>
      </x:c>
      <x:c r="P388" t="str">
        <x:v>ORIGINAL</x:v>
      </x:c>
      <x:c r="Q388" t="str">
        <x:v>NÃO</x:v>
      </x:c>
      <x:c r="R388"/>
      <x:c r="S388" t="str">
        <x:v>NÃO</x:v>
      </x:c>
      <x:c r="T388"/>
      <x:c r="U388"/>
      <x:c r="V388" t="str">
        <x:v>SIM</x:v>
      </x:c>
      <x:c r="W388" t="str">
        <x:v>M E M TRANSPORTES LTDA</x:v>
      </x:c>
      <x:c r="X388" t="str">
        <x:v>PERCENTUAL</x:v>
      </x:c>
      <x:c r="Y388"/>
      <x:c r="Z388" t="str">
        <x:v>2.6.44</x:v>
      </x:c>
      <x:c r="AA388" t="str">
        <x:v>Regra exata por município; origem operacional Marabá/PA.</x:v>
      </x:c>
    </x:row>
    <x:row r="389">
      <x:c r="A389" t="str">
        <x:v>MMT_REG_0009</x:v>
      </x:c>
      <x:c r="B389" t="str">
        <x:v>M_M_TRANSPORTES</x:v>
      </x:c>
      <x:c r="C389" t="str">
        <x:v>ROTA1_MARABA_PA</x:v>
      </x:c>
      <x:c r="D389" t="str">
        <x:v>PICARRA</x:v>
      </x:c>
      <x:c r="E389" t="str">
        <x:v>PA</x:v>
      </x:c>
      <x:c r="F389" t="str">
        <x:v>35%</x:v>
      </x:c>
      <x:c r="G389" t="n">
        <x:v>70</x:v>
      </x:c>
      <x:c r="H389" t="str">
        <x:v>D+1</x:v>
      </x:c>
      <x:c r="I389" t="str">
        <x:v>TABELA_M_E_M_TRANSPORTES_ROTA1_2026.pdf</x:v>
      </x:c>
      <x:c r="J389" t="str">
        <x:v>1</x:v>
      </x:c>
      <x:c r="K389" t="str">
        <x:v>REVISAR_OK</x:v>
      </x:c>
      <x:c r="L389"/>
      <x:c r="M389" t="str">
        <x:v>Rodoviário / distribuição</x:v>
      </x:c>
      <x:c r="N389"/>
      <x:c r="O389" t="str">
        <x:v>PICARRA: 35% do frete original, mínimo R$ 70,00; saídas de terça a sábado; prazo D+1.</x:v>
      </x:c>
      <x:c r="P389" t="str">
        <x:v>ORIGINAL</x:v>
      </x:c>
      <x:c r="Q389" t="str">
        <x:v>NÃO</x:v>
      </x:c>
      <x:c r="R389"/>
      <x:c r="S389" t="str">
        <x:v>NÃO</x:v>
      </x:c>
      <x:c r="T389"/>
      <x:c r="U389"/>
      <x:c r="V389" t="str">
        <x:v>SIM</x:v>
      </x:c>
      <x:c r="W389" t="str">
        <x:v>M E M TRANSPORTES LTDA</x:v>
      </x:c>
      <x:c r="X389" t="str">
        <x:v>PERCENTUAL</x:v>
      </x:c>
      <x:c r="Y389"/>
      <x:c r="Z389" t="str">
        <x:v>2.6.44</x:v>
      </x:c>
      <x:c r="AA389" t="str">
        <x:v>Regra exata por município; origem operacional Marabá/PA.</x:v>
      </x:c>
    </x:row>
    <x:row r="390">
      <x:c r="A390" t="str">
        <x:v>MMT_REG_0010</x:v>
      </x:c>
      <x:c r="B390" t="str">
        <x:v>M_M_TRANSPORTES</x:v>
      </x:c>
      <x:c r="C390" t="str">
        <x:v>ROTA1_MARABA_PA</x:v>
      </x:c>
      <x:c r="D390" t="str">
        <x:v>CANAA DOS CARAJAS</x:v>
      </x:c>
      <x:c r="E390" t="str">
        <x:v>PA</x:v>
      </x:c>
      <x:c r="F390" t="str">
        <x:v>35%</x:v>
      </x:c>
      <x:c r="G390" t="n">
        <x:v>70</x:v>
      </x:c>
      <x:c r="H390" t="str">
        <x:v>D+1</x:v>
      </x:c>
      <x:c r="I390" t="str">
        <x:v>TABELA_M_E_M_TRANSPORTES_ROTA1_2026.pdf</x:v>
      </x:c>
      <x:c r="J390" t="str">
        <x:v>1</x:v>
      </x:c>
      <x:c r="K390" t="str">
        <x:v>REVISAR_OK</x:v>
      </x:c>
      <x:c r="L390"/>
      <x:c r="M390" t="str">
        <x:v>Rodoviário / distribuição</x:v>
      </x:c>
      <x:c r="N390"/>
      <x:c r="O390" t="str">
        <x:v>CANAA DOS CARAJAS: 35% do frete original, mínimo R$ 70,00; saídas de terça a sábado; prazo D+1.</x:v>
      </x:c>
      <x:c r="P390" t="str">
        <x:v>ORIGINAL</x:v>
      </x:c>
      <x:c r="Q390" t="str">
        <x:v>NÃO</x:v>
      </x:c>
      <x:c r="R390"/>
      <x:c r="S390" t="str">
        <x:v>NÃO</x:v>
      </x:c>
      <x:c r="T390"/>
      <x:c r="U390"/>
      <x:c r="V390" t="str">
        <x:v>SIM</x:v>
      </x:c>
      <x:c r="W390" t="str">
        <x:v>M E M TRANSPORTES LTDA</x:v>
      </x:c>
      <x:c r="X390" t="str">
        <x:v>PERCENTUAL</x:v>
      </x:c>
      <x:c r="Y390"/>
      <x:c r="Z390" t="str">
        <x:v>2.6.44</x:v>
      </x:c>
      <x:c r="AA390" t="str">
        <x:v>Regra exata por município; origem operacional Marabá/PA.</x:v>
      </x:c>
    </x:row>
    <x:row r="391">
      <x:c r="A391" t="str">
        <x:v>MMT_REG_0011</x:v>
      </x:c>
      <x:c r="B391" t="str">
        <x:v>M_M_TRANSPORTES</x:v>
      </x:c>
      <x:c r="C391" t="str">
        <x:v>ROTA1_MARABA_PA</x:v>
      </x:c>
      <x:c r="D391" t="str">
        <x:v>SAO JOAO DO ARAGUAIA</x:v>
      </x:c>
      <x:c r="E391" t="str">
        <x:v>PA</x:v>
      </x:c>
      <x:c r="F391" t="str">
        <x:v>35%</x:v>
      </x:c>
      <x:c r="G391" t="n">
        <x:v>70</x:v>
      </x:c>
      <x:c r="H391" t="str">
        <x:v>D+1</x:v>
      </x:c>
      <x:c r="I391" t="str">
        <x:v>TABELA_M_E_M_TRANSPORTES_ROTA1_2026.pdf</x:v>
      </x:c>
      <x:c r="J391" t="str">
        <x:v>1</x:v>
      </x:c>
      <x:c r="K391" t="str">
        <x:v>REVISAR_OK</x:v>
      </x:c>
      <x:c r="L391"/>
      <x:c r="M391" t="str">
        <x:v>Rodoviário / distribuição</x:v>
      </x:c>
      <x:c r="N391"/>
      <x:c r="O391" t="str">
        <x:v>SAO JOAO DO ARAGUAIA: 35% do frete original, mínimo R$ 70,00; saídas de terça a sábado; prazo D+1.</x:v>
      </x:c>
      <x:c r="P391" t="str">
        <x:v>ORIGINAL</x:v>
      </x:c>
      <x:c r="Q391" t="str">
        <x:v>NÃO</x:v>
      </x:c>
      <x:c r="R391"/>
      <x:c r="S391" t="str">
        <x:v>NÃO</x:v>
      </x:c>
      <x:c r="T391"/>
      <x:c r="U391"/>
      <x:c r="V391" t="str">
        <x:v>SIM</x:v>
      </x:c>
      <x:c r="W391" t="str">
        <x:v>M E M TRANSPORTES LTDA</x:v>
      </x:c>
      <x:c r="X391" t="str">
        <x:v>PERCENTUAL</x:v>
      </x:c>
      <x:c r="Y391"/>
      <x:c r="Z391" t="str">
        <x:v>2.6.44</x:v>
      </x:c>
      <x:c r="AA391" t="str">
        <x:v>Regra exata por município; origem operacional Marabá/PA.</x:v>
      </x:c>
    </x:row>
  </x:sheetData>
  <x:pageMargins left="0.7" right="0.7" top="0.75" bottom="0.75" header="0.3" footer="0.3"/>
  <x:tableParts count="1">
    <x:tablePart xmlns:r="http://schemas.openxmlformats.org/officeDocument/2006/relationships" r:id="R46a21b5373d24a5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80" hidden="0" customWidth="1"/>
  </x:cols>
  <x:sheetData>
    <x:row r="1" ht="30" customHeight="1">
      <x:c r="A1" s="20" t="str">
        <x:v>Chave</x:v>
      </x:c>
      <x:c r="B1" s="20" t="str">
        <x:v>Valor</x:v>
      </x:c>
      <x:c r="C1" s="20" t="str">
        <x:v>Descrição</x:v>
      </x:c>
    </x:row>
    <x:row r="2">
      <x:c r="A2" s="14" t="str">
        <x:v>TOLERANCIA_VALOR</x:v>
      </x:c>
      <x:c r="B2" s="14" t="n">
        <x:v>1</x:v>
      </x:c>
      <x:c r="C2" s="14" t="str">
        <x:v>Diferença absoluta permitida entre valor esperado e valor cobrado no XML.</x:v>
      </x:c>
    </x:row>
    <x:row r="3">
      <x:c r="A3" s="14" t="str">
        <x:v>TOLERANCIA_PERCENTUAL</x:v>
      </x:c>
      <x:c r="B3" s="14" t="str">
        <x:v>0,50%</x:v>
      </x:c>
      <x:c r="C3" s="14" t="str">
        <x:v>Diferença percentual permitida quando aplicável.</x:v>
      </x:c>
    </x:row>
    <x:row r="4">
      <x:c r="A4" s="14" t="str">
        <x:v>BASE_CALCULO_PADRAO</x:v>
      </x:c>
      <x:c r="B4" s="14" t="str">
        <x:v>ORIGINAL</x:v>
      </x:c>
      <x:c r="C4" s="14" t="str">
        <x:v>Por padrão, calcular sobre CT-e original da base Rodovitor.</x:v>
      </x:c>
    </x:row>
    <x:row r="5">
      <x:c r="A5" s="14" t="str">
        <x:v>COMPLEMENTAR_PADRAO</x:v>
      </x:c>
      <x:c r="B5" s="14" t="str">
        <x:v>NÃO</x:v>
      </x:c>
      <x:c r="C5" s="14" t="str">
        <x:v>CT-e complementar não entra no cálculo principal, salvo regra explícita.</x:v>
      </x:c>
    </x:row>
    <x:row r="6">
      <x:c r="A6" s="14" t="str">
        <x:v>PLANILHA_BASE_RODOVITOR</x:v>
      </x:c>
      <x:c r="B6" s="14" t="str">
        <x:v>base_rodovitor.xlsx</x:v>
      </x:c>
      <x:c r="C6" s="14" t="str">
        <x:v>Nome esperado do arquivo com a base de CT-e/NF da Rodovitor.</x:v>
      </x:c>
    </x:row>
    <x:row r="7">
      <x:c r="A7" s="14" t="str">
        <x:v>CADASTRO_TABELAS</x:v>
      </x:c>
      <x:c r="B7" s="14" t="str">
        <x:v>cadastro_tabelas_parceiros_v1.xlsx</x:v>
      </x:c>
      <x:c r="C7" s="14" t="str">
        <x:v>Nome deste cadastro operacional de regras.</x:v>
      </x:c>
    </x:row>
    <x:row r="8">
      <x:c r="A8" s="14" t="str">
        <x:v>BUSCA_NF_REPETIDA</x:v>
      </x:c>
      <x:c r="B8" s="14" t="str">
        <x:v>USAR_CTE_NORMAL</x:v>
      </x:c>
      <x:c r="C8" s="14" t="str">
        <x:v>Quando NF repetir, priorizar CT-e normal/original e marcar complementares separadamente.</x:v>
      </x:c>
    </x:row>
  </x:sheetData>
  <x:pageMargins left="0.7" right="0.7" top="0.75" bottom="0.75" header="0.3" footer="0.3"/>
  <x:tableParts count="1">
    <x:tablePart xmlns:r="http://schemas.openxmlformats.org/officeDocument/2006/relationships" r:id="R09d7cd1bcbb346c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70" hidden="0" customWidth="1"/>
  </x:cols>
  <x:sheetData>
    <x:row r="1" ht="30" customHeight="1">
      <x:c r="A1" s="20" t="str">
        <x:v>Campo do Programa</x:v>
      </x:c>
      <x:c r="B1" s="20" t="str">
        <x:v>Aba/Coluna sugerida na base</x:v>
      </x:c>
      <x:c r="C1" s="20" t="str">
        <x:v>Coluna Modelo isso.xlsx</x:v>
      </x:c>
      <x:c r="D1" s="20" t="str">
        <x:v>Observação</x:v>
      </x:c>
    </x:row>
    <x:row r="2">
      <x:c r="A2" s="14" t="str">
        <x:v>Número CT-e Rodovitor</x:v>
      </x:c>
      <x:c r="B2" s="14" t="str">
        <x:v>Serie/Numero CT-e</x:v>
      </x:c>
      <x:c r="C2" s="14" t="str">
        <x:v>B</x:v>
      </x:c>
      <x:c r="D2" s="14" t="str">
        <x:v>Usado para separar original/complementar quando possível.</x:v>
      </x:c>
    </x:row>
    <x:row r="3">
      <x:c r="A3" s="14" t="str">
        <x:v>Chave CT-e</x:v>
      </x:c>
      <x:c r="B3" s="14" t="str">
        <x:v>Chave CT-e</x:v>
      </x:c>
      <x:c r="C3" s="14" t="str">
        <x:v>M</x:v>
      </x:c>
      <x:c r="D3" s="14" t="str">
        <x:v>Chave do CT-e da Rodovitor.</x:v>
      </x:c>
    </x:row>
    <x:row r="4">
      <x:c r="A4" s="14" t="str">
        <x:v>NF</x:v>
      </x:c>
      <x:c r="B4" s="14" t="str">
        <x:v>Numero da Nota Fiscal</x:v>
      </x:c>
      <x:c r="C4" s="14" t="str">
        <x:v>BB</x:v>
      </x:c>
      <x:c r="D4" s="14" t="str">
        <x:v>Primeira chave de busca vinda do XML parceiro.</x:v>
      </x:c>
    </x:row>
    <x:row r="5">
      <x:c r="A5" s="14" t="str">
        <x:v>Valor Frete Base</x:v>
      </x:c>
      <x:c r="B5" s="14" t="str">
        <x:v>Valor do Frete</x:v>
      </x:c>
      <x:c r="C5" s="14" t="str">
        <x:v>BP</x:v>
      </x:c>
      <x:c r="D5" s="14" t="str">
        <x:v>Base do cálculo percentual.</x:v>
      </x:c>
    </x:row>
    <x:row r="6">
      <x:c r="A6" s="14" t="str">
        <x:v>Valor Frete sem ICMS</x:v>
      </x:c>
      <x:c r="B6" s="14" t="str">
        <x:v>Valor do Frete sem ICMS</x:v>
      </x:c>
      <x:c r="C6" s="14" t="str">
        <x:v>BQ</x:v>
      </x:c>
      <x:c r="D6" s="14" t="str">
        <x:v>Usar quando regra indicar sem ICMS.</x:v>
      </x:c>
    </x:row>
    <x:row r="7">
      <x:c r="A7" s="14" t="str">
        <x:v>Valor Mercadoria</x:v>
      </x:c>
      <x:c r="B7" s="14" t="str">
        <x:v>Valor da Mercadoria</x:v>
      </x:c>
      <x:c r="C7" s="14" t="str">
        <x:v>BM</x:v>
      </x:c>
      <x:c r="D7" s="14" t="str">
        <x:v>Usado em seguro/armazenagem e desempate.</x:v>
      </x:c>
    </x:row>
    <x:row r="8">
      <x:c r="A8" s="14" t="str">
        <x:v>CNPJ Remetente</x:v>
      </x:c>
      <x:c r="B8" s="14" t="str">
        <x:v>CNPJ Remetente</x:v>
      </x:c>
      <x:c r="C8" s="14" t="str">
        <x:v>N</x:v>
      </x:c>
      <x:c r="D8" s="14" t="str">
        <x:v>Desempate de NF repetida.</x:v>
      </x:c>
    </x:row>
    <x:row r="9">
      <x:c r="A9" s="14" t="str">
        <x:v>Cliente Remetente</x:v>
      </x:c>
      <x:c r="B9" s="14" t="str">
        <x:v>Cliente Remetente</x:v>
      </x:c>
      <x:c r="C9" s="14" t="str">
        <x:v>O</x:v>
      </x:c>
      <x:c r="D9" s="14" t="str">
        <x:v>Auxiliar de conferência.</x:v>
      </x:c>
    </x:row>
    <x:row r="10">
      <x:c r="A10" s="14" t="str">
        <x:v>CNPJ Destinatário</x:v>
      </x:c>
      <x:c r="B10" s="14" t="str">
        <x:v>CNPJ Destinatario</x:v>
      </x:c>
      <x:c r="C10" s="14" t="str">
        <x:v>AH</x:v>
      </x:c>
      <x:c r="D10" s="14" t="str">
        <x:v>Desempate de NF repetida.</x:v>
      </x:c>
    </x:row>
    <x:row r="11">
      <x:c r="A11" s="14" t="str">
        <x:v>Cliente Destinatário</x:v>
      </x:c>
      <x:c r="B11" s="14" t="str">
        <x:v>Cliente Destinatario</x:v>
      </x:c>
      <x:c r="C11" s="14" t="str">
        <x:v>AI</x:v>
      </x:c>
      <x:c r="D11" s="14" t="str">
        <x:v>Auxiliar de conferência.</x:v>
      </x:c>
    </x:row>
    <x:row r="12">
      <x:c r="A12" s="14" t="str">
        <x:v>Cidade Origem</x:v>
      </x:c>
      <x:c r="B12" s="14" t="str">
        <x:v>Cidade do Remetente</x:v>
      </x:c>
      <x:c r="C12" s="14" t="str">
        <x:v>S</x:v>
      </x:c>
      <x:c r="D12" s="14" t="str">
        <x:v>Usar para localizar regra por origem.</x:v>
      </x:c>
    </x:row>
    <x:row r="13">
      <x:c r="A13" s="14" t="str">
        <x:v>UF Origem</x:v>
      </x:c>
      <x:c r="B13" s="14" t="str">
        <x:v>UF do Remetente</x:v>
      </x:c>
      <x:c r="C13" s="14" t="str">
        <x:v>T</x:v>
      </x:c>
      <x:c r="D13" s="14" t="str">
        <x:v>Usar para localizar regra por origem.</x:v>
      </x:c>
    </x:row>
    <x:row r="14">
      <x:c r="A14" s="14" t="str">
        <x:v>Cidade Destino</x:v>
      </x:c>
      <x:c r="B14" s="14" t="str">
        <x:v>Cidade do Destinatario</x:v>
      </x:c>
      <x:c r="C14" s="14" t="str">
        <x:v>AN</x:v>
      </x:c>
      <x:c r="D14" s="14" t="str">
        <x:v>Usar para localizar regra por destino.</x:v>
      </x:c>
    </x:row>
    <x:row r="15">
      <x:c r="A15" s="14" t="str">
        <x:v>UF Destino</x:v>
      </x:c>
      <x:c r="B15" s="14" t="str">
        <x:v>UF do Destinatario</x:v>
      </x:c>
      <x:c r="C15" s="14" t="str">
        <x:v>AO</x:v>
      </x:c>
      <x:c r="D15" s="14" t="str">
        <x:v>Usar para localizar regra por destino.</x:v>
      </x:c>
    </x:row>
  </x:sheetData>
  <x:pageMargins left="0.7" right="0.7" top="0.75" bottom="0.75" header="0.3" footer="0.3"/>
  <x:tableParts count="1">
    <x:tablePart xmlns:r="http://schemas.openxmlformats.org/officeDocument/2006/relationships" r:id="R22bed3d6772c441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5" hidden="0" customWidth="1"/>
    <x:col min="3" max="3" width="60" hidden="0" customWidth="1"/>
  </x:cols>
  <x:sheetData>
    <x:row r="1" ht="30" customHeight="1">
      <x:c r="A1" s="30" t="str">
        <x:v>Campo</x:v>
      </x:c>
      <x:c r="B1" s="30" t="str">
        <x:v>Valores permitidos / padrão</x:v>
      </x:c>
      <x:c r="C1" s="30" t="str">
        <x:v>Uso</x:v>
      </x:c>
    </x:row>
    <x:row r="2">
      <x:c r="A2" s="14" t="str">
        <x:v>Status Revisão</x:v>
      </x:c>
      <x:c r="B2" s="14" t="str">
        <x:v>REVISAR_OK; PENDENTE_TRANSCRICAO; CONFERIR_VALOR; INATIVO</x:v>
      </x:c>
      <x:c r="C2" s="14" t="str">
        <x:v>Controle operacional das regras antes de ativar validação.</x:v>
      </x:c>
    </x:row>
    <x:row r="3">
      <x:c r="A3" s="14" t="str">
        <x:v>Base Cálculo</x:v>
      </x:c>
      <x:c r="B3" s="14" t="str">
        <x:v>ORIGINAL; ORIGINAL_SEM_ICMS; ORIGINAL_COM_ICMS; ORIGINAL+COMPLEMENTAR; COMPLEMENTAR; MERCADORIA; MANUAL; CUBAGEM; PALETE; PESO</x:v>
      </x:c>
      <x:c r="C3" s="14" t="str">
        <x:v>Define em qual valor aplicar percentual/regra.</x:v>
      </x:c>
    </x:row>
    <x:row r="4">
      <x:c r="A4" s="14" t="str">
        <x:v>Inclui Complementar?</x:v>
      </x:c>
      <x:c r="B4" s="14" t="str">
        <x:v>SIM; NÃO; SOMENTE_SE_REGRA_EXTRA</x:v>
      </x:c>
      <x:c r="C4" s="14" t="str">
        <x:v>Evita usar CT-e complementar como base por engano.</x:v>
      </x:c>
    </x:row>
    <x:row r="5">
      <x:c r="A5" s="14" t="str">
        <x:v>Tipo tabela principal</x:v>
      </x:c>
      <x:c r="B5" s="14" t="str">
        <x:v>Percentual por cidade; Percentual por região; Valor fixo; Escalonado; Extras</x:v>
      </x:c>
      <x:c r="C5" s="14" t="str">
        <x:v>Ajuda o programa a escolher o motor de cálculo.</x:v>
      </x:c>
    </x:row>
    <x:row r="6">
      <x:c r="A6" s="14" t="str">
        <x:v>Status Validação futuro</x:v>
      </x:c>
      <x:c r="B6" s="14" t="str">
        <x:v>OK; DIVERGENTE; NF_NAO_ENCONTRADA; PARCEIRO_NAO_CADASTRADO; REGRA_NAO_ENCONTRADA; POSSIVEL_COMPLEMENTAR</x:v>
      </x:c>
      <x:c r="C6" s="14" t="str">
        <x:v>Saída esperada no programa.</x:v>
      </x:c>
    </x:row>
    <x:row r="8">
      <x:c r="A8" s="94" t="str">
        <x:v>Campo</x:v>
      </x:c>
      <x:c r="B8" s="94" t="str">
        <x:v>Uso</x:v>
      </x:c>
      <x:c r="C8" s="94" t="str">
        <x:v>Exemplo</x:v>
      </x:c>
    </x:row>
    <x:row r="9">
      <x:c r="A9" t="str">
        <x:v>GRIS Ativo</x:v>
      </x:c>
      <x:c r="B9" t="str">
        <x:v>SIM ativa GRIS no controle interno do DACTE.</x:v>
      </x:c>
      <x:c r="C9" t="str">
        <x:v>SIM</x:v>
      </x:c>
    </x:row>
    <x:row r="10">
      <x:c r="A10" t="str">
        <x:v>Percentual GRIS</x:v>
      </x:c>
      <x:c r="B10" t="str">
        <x:v>Percentual sobre valor da mercadoria/carga.</x:v>
      </x:c>
      <x:c r="C10" t="str">
        <x:v>0,02%</x:v>
      </x:c>
    </x:row>
    <x:row r="11">
      <x:c r="A11" t="str">
        <x:v>Pedágio Ativo</x:v>
      </x:c>
      <x:c r="B11" t="str">
        <x:v>SIM ativa pedágio por fração de peso.</x:v>
      </x:c>
      <x:c r="C11" t="str">
        <x:v>SIM</x:v>
      </x:c>
    </x:row>
    <x:row r="12">
      <x:c r="A12" t="str">
        <x:v>Valor Pedágio</x:v>
      </x:c>
      <x:c r="B12" t="str">
        <x:v>Valor cobrado por fração.</x:v>
      </x:c>
      <x:c r="C12" t="str">
        <x:v>3,50</x:v>
      </x:c>
    </x:row>
    <x:row r="13">
      <x:c r="A13" t="str">
        <x:v>Fração Pedágio KG</x:v>
      </x:c>
      <x:c r="B13" t="str">
        <x:v>Peso por fração. O sistema usa teto(peso/fração).</x:v>
      </x:c>
      <x:c r="C13" t="str">
        <x:v>100</x:v>
      </x:c>
    </x:row>
    <x:row r="14">
      <x:c r="A14" t="str">
        <x:v>Controle DACTE</x:v>
      </x:c>
      <x:c r="B14" t="str">
        <x:v>SIM mostra o bloco compacto no DACTE após validar.</x:v>
      </x:c>
      <x:c r="C14" t="str">
        <x:v>SIM</x:v>
      </x:c>
    </x:row>
    <x:row r="15">
      <x:c r="A15" t="str">
        <x:v>Nome Controle</x:v>
      </x:c>
      <x:c r="B15" t="str">
        <x:v>Nome exibido no bloco compacto.</x:v>
      </x:c>
      <x:c r="C15" t="str">
        <x:v>RODOTEC</x:v>
      </x:c>
    </x:row>
  </x:sheetData>
  <x:pageMargins left="0.7" right="0.7" top="0.75" bottom="0.75" header="0.3" footer="0.3"/>
  <x:tableParts count="1">
    <x:tablePart xmlns:r="http://schemas.openxmlformats.org/officeDocument/2006/relationships" r:id="Ref70f6ff8e1c437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22" hidden="0" customWidth="1"/>
    <x:col min="5" max="5" width="18" hidden="0" customWidth="1"/>
    <x:col min="6" max="6" width="12" hidden="0" customWidth="1"/>
    <x:col min="7" max="7" width="14" hidden="0" customWidth="1"/>
    <x:col min="8" max="8" width="18" hidden="0" customWidth="1"/>
    <x:col min="9" max="9" width="16" hidden="0" customWidth="1"/>
    <x:col min="10" max="10" width="14" hidden="0" customWidth="1"/>
    <x:col min="11" max="11" width="16" hidden="0" customWidth="1"/>
  </x:cols>
  <x:sheetData>
    <x:row r="1" ht="30" customHeight="1">
      <x:c r="A1" s="40" t="str">
        <x:v>CT-e Parceiro</x:v>
      </x:c>
      <x:c r="B1" s="40" t="str">
        <x:v>Parceiro ID</x:v>
      </x:c>
      <x:c r="C1" s="40" t="str">
        <x:v>NF</x:v>
      </x:c>
      <x:c r="D1" s="40" t="str">
        <x:v>Destino</x:v>
      </x:c>
      <x:c r="E1" s="40" t="str">
        <x:v>Valor Base Rodovitor</x:v>
      </x:c>
      <x:c r="F1" s="40" t="str">
        <x:v>Percentual</x:v>
      </x:c>
      <x:c r="G1" s="40" t="str">
        <x:v>Frete Mínimo</x:v>
      </x:c>
      <x:c r="H1" s="40" t="str">
        <x:v>Valor XML Parceiro</x:v>
      </x:c>
      <x:c r="I1" s="40" t="str">
        <x:v>Valor Esperado</x:v>
      </x:c>
      <x:c r="J1" s="40" t="str">
        <x:v>Diferença</x:v>
      </x:c>
      <x:c r="K1" s="40" t="str">
        <x:v>Status</x:v>
      </x:c>
    </x:row>
    <x:row r="2">
      <x:c r="A2" s="14" t="str">
        <x:v>EXEMPLO-001</x:v>
      </x:c>
      <x:c r="B2" s="14" t="str">
        <x:v>JSP</x:v>
      </x:c>
      <x:c r="C2" s="14" t="str">
        <x:v>12345</x:v>
      </x:c>
      <x:c r="D2" s="14" t="str">
        <x:v>Benevides</x:v>
      </x:c>
      <x:c r="E2" s="46" t="n">
        <x:v>1000</x:v>
      </x:c>
      <x:c r="F2" s="14" t="str">
        <x:v>30%</x:v>
      </x:c>
      <x:c r="G2" s="46" t="n">
        <x:v>50</x:v>
      </x:c>
      <x:c r="H2" s="46" t="n">
        <x:v>300</x:v>
      </x:c>
      <x:c r="I2" s="46" t="n">
        <x:f>MAX(E2*VALUE(SUBSTITUTE(F2,"%",""))/100,G2)</x:f>
        <x:v>300</x:v>
      </x:c>
      <x:c r="J2" s="46" t="n">
        <x:f>H2-I2</x:f>
        <x:v>0</x:v>
      </x:c>
      <x:c r="K2" s="14" t="str">
        <x:f>IF(ABS(J2)&lt;=CONFIG_PROGRAMA!$B$2,"OK","DIVERGENTE")</x:f>
        <x:v>OK</x:v>
      </x:c>
    </x:row>
    <x:row r="3">
      <x:c r="A3" s="14" t="str">
        <x:v>EXEMPLO-002</x:v>
      </x:c>
      <x:c r="B3" s="14" t="str">
        <x:v>LN</x:v>
      </x:c>
      <x:c r="C3" s="14" t="str">
        <x:v>12346</x:v>
      </x:c>
      <x:c r="D3" s="14" t="str">
        <x:v>Altamira</x:v>
      </x:c>
      <x:c r="E3" s="46" t="n">
        <x:v>200</x:v>
      </x:c>
      <x:c r="F3" s="14" t="str">
        <x:v>30%</x:v>
      </x:c>
      <x:c r="G3" s="46" t="n">
        <x:v>100</x:v>
      </x:c>
      <x:c r="H3" s="46" t="n">
        <x:v>120</x:v>
      </x:c>
      <x:c r="I3" s="46" t="n">
        <x:f>MAX(E3*VALUE(SUBSTITUTE(F3,"%",""))/100,G3)</x:f>
        <x:v>100</x:v>
      </x:c>
      <x:c r="J3" s="46" t="n">
        <x:f>H3-I3</x:f>
        <x:v>20</x:v>
      </x:c>
      <x:c r="K3" s="14" t="str">
        <x:f>IF(ABS(J3)&lt;=CONFIG_PROGRAMA!$B$2,"OK","DIVERGENTE")</x:f>
        <x:v>DIVERGENTE</x:v>
      </x:c>
    </x:row>
  </x:sheetData>
  <x:pageMargins left="0.7" right="0.7" top="0.75" bottom="0.75" header="0.3" footer="0.3"/>
  <x:tableParts count="1">
    <x:tablePart xmlns:r="http://schemas.openxmlformats.org/officeDocument/2006/relationships" r:id="R95c07e82c23e40a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</x:cols>
  <x:sheetData>
    <x:row r="1">
      <x:c r="A1" s="65" t="str">
        <x:v>UF</x:v>
      </x:c>
      <x:c r="B1" s="65" t="str">
        <x:v>Polo/Base</x:v>
      </x:c>
      <x:c r="C1" s="65" t="str">
        <x:v>Cidade</x:v>
      </x:c>
      <x:c r="D1" s="65" t="str">
        <x:v>Origem</x:v>
      </x:c>
      <x:c r="E1" s="65" t="str">
        <x:v>Origem UF</x:v>
      </x:c>
      <x:c r="F1" s="65" t="str">
        <x:v>Percentual</x:v>
      </x:c>
      <x:c r="G1" s="65" t="str">
        <x:v>Frete Mínimo</x:v>
      </x:c>
      <x:c r="H1" s="65" t="str">
        <x:v>Tonelagem Mínima (R$/Ton)</x:v>
      </x:c>
      <x:c r="I1" s="65" t="str">
        <x:v>Modal</x:v>
      </x:c>
      <x:c r="J1" s="65" t="str">
        <x:v>Fonte PDF</x:v>
      </x:c>
      <x:c r="K1" s="69" t="str">
        <x:v>Página</x:v>
      </x:c>
      <x:c r="L1" s="69" t="str">
        <x:v>Status</x:v>
      </x:c>
      <x:c r="M1" s="69" t="str">
        <x:v>Observação</x:v>
      </x:c>
      <x:c r="N1" s="72" t="str">
        <x:v>Base Cálculo</x:v>
      </x:c>
    </x:row>
    <x:row r="2">
      <x:c r="A2" s="12" t="str">
        <x:v>RO</x:v>
      </x:c>
      <x:c r="B2" s="12" t="str">
        <x:v>RODOTEC RO POLO EIXO</x:v>
      </x:c>
      <x:c r="C2" s="12" t="str">
        <x:v>Porto Velho</x:v>
      </x:c>
      <x:c r="D2" s="12" t="str">
        <x:v>Guarulhos</x:v>
      </x:c>
      <x:c r="E2" s="12" t="str">
        <x:v>SP</x:v>
      </x:c>
      <x:c r="F2" s="12" t="str">
        <x:v>25%</x:v>
      </x:c>
      <x:c r="G2" s="12" t="n">
        <x:v>80</x:v>
      </x:c>
      <x:c r="H2" s="12" t="n">
        <x:v>690</x:v>
      </x:c>
      <x:c r="I2" s="12" t="str">
        <x:v>ROTA RODOVIARIO</x:v>
      </x:c>
      <x:c r="J2" s="12" t="str">
        <x:v>rodotec.pdf</x:v>
      </x:c>
      <x:c r="K2" t="str">
        <x:v>1</x:v>
      </x:c>
      <x:c r="L2" t="str">
        <x:v>REVISAR_OK</x:v>
      </x:c>
      <x:c r="M2" t="str"/>
      <x:c r="N2" t="str">
        <x:v>SEM_ICMS</x:v>
      </x:c>
    </x:row>
    <x:row r="3">
      <x:c r="A3" s="12" t="str">
        <x:v>RO</x:v>
      </x:c>
      <x:c r="B3" s="12" t="str">
        <x:v>RODOTEC RO POLO EIXO</x:v>
      </x:c>
      <x:c r="C3" s="12" t="str">
        <x:v>Ariquemes</x:v>
      </x:c>
      <x:c r="D3" s="12" t="str">
        <x:v>Guarulhos</x:v>
      </x:c>
      <x:c r="E3" s="12" t="str">
        <x:v>SP</x:v>
      </x:c>
      <x:c r="F3" s="12" t="str">
        <x:v>30%</x:v>
      </x:c>
      <x:c r="G3" s="12" t="n">
        <x:v>100</x:v>
      </x:c>
      <x:c r="H3" s="12" t="n">
        <x:v>690</x:v>
      </x:c>
      <x:c r="I3" s="12" t="str">
        <x:v>ROTA RODOVIARIO</x:v>
      </x:c>
      <x:c r="J3" s="12" t="str">
        <x:v>rodotec.pdf</x:v>
      </x:c>
      <x:c r="K3" t="str">
        <x:v>1</x:v>
      </x:c>
      <x:c r="L3" t="str">
        <x:v>REVISAR_OK</x:v>
      </x:c>
      <x:c r="M3" t="str"/>
      <x:c r="N3" t="str">
        <x:v>SEM_ICMS</x:v>
      </x:c>
    </x:row>
    <x:row r="4">
      <x:c r="A4" s="12" t="str">
        <x:v>RO</x:v>
      </x:c>
      <x:c r="B4" s="12" t="str">
        <x:v>RODOTEC RO POLO EIXO</x:v>
      </x:c>
      <x:c r="C4" s="12" t="str">
        <x:v>Jaru</x:v>
      </x:c>
      <x:c r="D4" s="12" t="str">
        <x:v>Guarulhos</x:v>
      </x:c>
      <x:c r="E4" s="12" t="str">
        <x:v>SP</x:v>
      </x:c>
      <x:c r="F4" s="12" t="str">
        <x:v>30%</x:v>
      </x:c>
      <x:c r="G4" s="12" t="n">
        <x:v>100</x:v>
      </x:c>
      <x:c r="H4" s="12" t="n">
        <x:v>690</x:v>
      </x:c>
      <x:c r="I4" s="12" t="str">
        <x:v>ROTA RODOVIARIO</x:v>
      </x:c>
      <x:c r="J4" s="12" t="str">
        <x:v>rodotec.pdf</x:v>
      </x:c>
      <x:c r="K4" t="str">
        <x:v>1</x:v>
      </x:c>
      <x:c r="L4" t="str">
        <x:v>REVISAR_OK</x:v>
      </x:c>
      <x:c r="M4" t="str"/>
      <x:c r="N4" t="str">
        <x:v>SEM_ICMS</x:v>
      </x:c>
    </x:row>
    <x:row r="5">
      <x:c r="A5" s="12" t="str">
        <x:v>RO</x:v>
      </x:c>
      <x:c r="B5" s="12" t="str">
        <x:v>RODOTEC RO POLO EIXO</x:v>
      </x:c>
      <x:c r="C5" s="12" t="str">
        <x:v>Ouro Preto do Oeste</x:v>
      </x:c>
      <x:c r="D5" s="12" t="str">
        <x:v>Guarulhos</x:v>
      </x:c>
      <x:c r="E5" s="12" t="str">
        <x:v>SP</x:v>
      </x:c>
      <x:c r="F5" s="12" t="str">
        <x:v>30%</x:v>
      </x:c>
      <x:c r="G5" s="12" t="n">
        <x:v>100</x:v>
      </x:c>
      <x:c r="H5" s="12" t="n">
        <x:v>690</x:v>
      </x:c>
      <x:c r="I5" s="12" t="str">
        <x:v>ROTA RODOVIARIO</x:v>
      </x:c>
      <x:c r="J5" s="12" t="str">
        <x:v>rodotec.pdf</x:v>
      </x:c>
      <x:c r="K5" t="str">
        <x:v>1</x:v>
      </x:c>
      <x:c r="L5" t="str">
        <x:v>REVISAR_OK</x:v>
      </x:c>
      <x:c r="M5" t="str"/>
      <x:c r="N5" t="str">
        <x:v>SEM_ICMS</x:v>
      </x:c>
    </x:row>
    <x:row r="6">
      <x:c r="A6" s="12" t="str">
        <x:v>RO</x:v>
      </x:c>
      <x:c r="B6" s="12" t="str">
        <x:v>RODOTEC RO POLO EIXO</x:v>
      </x:c>
      <x:c r="C6" s="12" t="str">
        <x:v>Ji-Paraná</x:v>
      </x:c>
      <x:c r="D6" s="12" t="str">
        <x:v>Guarulhos</x:v>
      </x:c>
      <x:c r="E6" s="12" t="str">
        <x:v>SP</x:v>
      </x:c>
      <x:c r="F6" s="12" t="str">
        <x:v>30%</x:v>
      </x:c>
      <x:c r="G6" s="12" t="n">
        <x:v>100</x:v>
      </x:c>
      <x:c r="H6" s="12" t="n">
        <x:v>690</x:v>
      </x:c>
      <x:c r="I6" s="12" t="str">
        <x:v>ROTA RODOVIARIO</x:v>
      </x:c>
      <x:c r="J6" s="12" t="str">
        <x:v>rodotec.pdf</x:v>
      </x:c>
      <x:c r="K6" t="str">
        <x:v>1</x:v>
      </x:c>
      <x:c r="L6" t="str">
        <x:v>REVISAR_OK</x:v>
      </x:c>
      <x:c r="M6" t="str"/>
      <x:c r="N6" t="str">
        <x:v>SEM_ICMS</x:v>
      </x:c>
    </x:row>
    <x:row r="7">
      <x:c r="A7" s="12" t="str">
        <x:v>RO</x:v>
      </x:c>
      <x:c r="B7" s="12" t="str">
        <x:v>RODOTEC RO POLO EIXO</x:v>
      </x:c>
      <x:c r="C7" s="12" t="str">
        <x:v>Cacoal</x:v>
      </x:c>
      <x:c r="D7" s="12" t="str">
        <x:v>Guarulhos</x:v>
      </x:c>
      <x:c r="E7" s="12" t="str">
        <x:v>SP</x:v>
      </x:c>
      <x:c r="F7" s="12" t="str">
        <x:v>30%</x:v>
      </x:c>
      <x:c r="G7" s="12" t="n">
        <x:v>100</x:v>
      </x:c>
      <x:c r="H7" s="12" t="n">
        <x:v>690</x:v>
      </x:c>
      <x:c r="I7" s="12" t="str">
        <x:v>ROTA RODOVIARIO</x:v>
      </x:c>
      <x:c r="J7" s="12" t="str">
        <x:v>rodotec.pdf</x:v>
      </x:c>
      <x:c r="K7" t="str">
        <x:v>1</x:v>
      </x:c>
      <x:c r="L7" t="str">
        <x:v>REVISAR_OK</x:v>
      </x:c>
      <x:c r="M7" t="str"/>
      <x:c r="N7" t="str">
        <x:v>SEM_ICMS</x:v>
      </x:c>
    </x:row>
    <x:row r="8">
      <x:c r="A8" s="12" t="str">
        <x:v>RO</x:v>
      </x:c>
      <x:c r="B8" s="12" t="str">
        <x:v>RODOTEC RO POLO EIXO</x:v>
      </x:c>
      <x:c r="C8" s="12" t="str">
        <x:v>Pimenta Bueno</x:v>
      </x:c>
      <x:c r="D8" s="12" t="str">
        <x:v>Guarulhos</x:v>
      </x:c>
      <x:c r="E8" s="12" t="str">
        <x:v>SP</x:v>
      </x:c>
      <x:c r="F8" s="12" t="str">
        <x:v>30%</x:v>
      </x:c>
      <x:c r="G8" s="12" t="n">
        <x:v>100</x:v>
      </x:c>
      <x:c r="H8" s="12" t="n">
        <x:v>690</x:v>
      </x:c>
      <x:c r="I8" s="12" t="str">
        <x:v>ROTA RODOVIARIO</x:v>
      </x:c>
      <x:c r="J8" s="12" t="str">
        <x:v>rodotec.pdf</x:v>
      </x:c>
      <x:c r="K8" t="str">
        <x:v>1</x:v>
      </x:c>
      <x:c r="L8" t="str">
        <x:v>REVISAR_OK</x:v>
      </x:c>
      <x:c r="M8" t="str"/>
      <x:c r="N8" t="str">
        <x:v>SEM_ICMS</x:v>
      </x:c>
    </x:row>
    <x:row r="9">
      <x:c r="A9" s="12" t="str">
        <x:v>RO</x:v>
      </x:c>
      <x:c r="B9" s="12" t="str">
        <x:v>RODOTEC RO POLO EIXO</x:v>
      </x:c>
      <x:c r="C9" s="12" t="str">
        <x:v>Vilhena</x:v>
      </x:c>
      <x:c r="D9" s="12" t="str">
        <x:v>Guarulhos</x:v>
      </x:c>
      <x:c r="E9" s="12" t="str">
        <x:v>SP</x:v>
      </x:c>
      <x:c r="F9" s="12" t="str">
        <x:v>30%</x:v>
      </x:c>
      <x:c r="G9" s="12" t="n">
        <x:v>100</x:v>
      </x:c>
      <x:c r="H9" s="12" t="n">
        <x:v>690</x:v>
      </x:c>
      <x:c r="I9" s="12" t="str">
        <x:v>ROTA RODOVIARIO</x:v>
      </x:c>
      <x:c r="J9" s="12" t="str">
        <x:v>rodotec.pdf</x:v>
      </x:c>
      <x:c r="K9" t="str">
        <x:v>1</x:v>
      </x:c>
      <x:c r="L9" t="str">
        <x:v>REVISAR_OK</x:v>
      </x:c>
      <x:c r="M9" t="str"/>
      <x:c r="N9" t="str">
        <x:v>SEM_ICMS</x:v>
      </x:c>
    </x:row>
    <x:row r="10">
      <x:c r="A10" s="12" t="str">
        <x:v>RO</x:v>
      </x:c>
      <x:c r="B10" s="12" t="str">
        <x:v>RODOTEC RO INTERIOR</x:v>
      </x:c>
      <x:c r="C10" s="12" t="str">
        <x:v>Alta Floresta d'Oeste</x:v>
      </x:c>
      <x:c r="D10" s="12" t="str">
        <x:v>Guarulhos</x:v>
      </x:c>
      <x:c r="E10" s="12" t="str">
        <x:v>SP</x:v>
      </x:c>
      <x:c r="F10" s="12" t="str">
        <x:v>30%</x:v>
      </x:c>
      <x:c r="G10" s="12" t="n">
        <x:v>100</x:v>
      </x:c>
      <x:c r="H10" s="12" t="n">
        <x:v>720</x:v>
      </x:c>
      <x:c r="I10" s="12" t="str">
        <x:v>ROTA RODOVIARIO</x:v>
      </x:c>
      <x:c r="J10" s="12" t="str">
        <x:v>rodotec.pdf</x:v>
      </x:c>
      <x:c r="K10" t="str">
        <x:v>1</x:v>
      </x:c>
      <x:c r="L10" t="str">
        <x:v>REVISAR_OK</x:v>
      </x:c>
      <x:c r="M10" t="str"/>
      <x:c r="N10" t="str">
        <x:v>SEM_ICMS</x:v>
      </x:c>
    </x:row>
    <x:row r="11">
      <x:c r="A11" s="12" t="str">
        <x:v>RO</x:v>
      </x:c>
      <x:c r="B11" s="12" t="str">
        <x:v>RODOTEC RO DISTRITO</x:v>
      </x:c>
      <x:c r="C11" s="12" t="str">
        <x:v>Abunã</x:v>
      </x:c>
      <x:c r="D11" s="12" t="str">
        <x:v>Guarulhos</x:v>
      </x:c>
      <x:c r="E11" s="12" t="str">
        <x:v>SP</x:v>
      </x:c>
      <x:c r="F11" s="12" t="str">
        <x:v>30%</x:v>
      </x:c>
      <x:c r="G11" s="12" t="n">
        <x:v>100</x:v>
      </x:c>
      <x:c r="H11" s="12" t="n">
        <x:v>720</x:v>
      </x:c>
      <x:c r="I11" s="12" t="str">
        <x:v>ROTA RODOVIARIO</x:v>
      </x:c>
      <x:c r="J11" s="12" t="str">
        <x:v>rodotec.pdf</x:v>
      </x:c>
      <x:c r="K11" t="str">
        <x:v>1</x:v>
      </x:c>
      <x:c r="L11" t="str">
        <x:v>REVISAR_OK</x:v>
      </x:c>
      <x:c r="M11" t="str"/>
      <x:c r="N11" t="str">
        <x:v>SEM_ICMS</x:v>
      </x:c>
    </x:row>
    <x:row r="12">
      <x:c r="A12" s="12" t="str">
        <x:v>RO</x:v>
      </x:c>
      <x:c r="B12" s="12" t="str">
        <x:v>RODOTEC RO INTERIOR</x:v>
      </x:c>
      <x:c r="C12" s="12" t="str">
        <x:v>Alto Alegre do Parecis</x:v>
      </x:c>
      <x:c r="D12" s="12" t="str">
        <x:v>Guarulhos</x:v>
      </x:c>
      <x:c r="E12" s="12" t="str">
        <x:v>SP</x:v>
      </x:c>
      <x:c r="F12" s="12" t="str">
        <x:v>30%</x:v>
      </x:c>
      <x:c r="G12" s="12" t="n">
        <x:v>100</x:v>
      </x:c>
      <x:c r="H12" s="12" t="n">
        <x:v>720</x:v>
      </x:c>
      <x:c r="I12" s="12" t="str">
        <x:v>ROTA RODOVIARIO</x:v>
      </x:c>
      <x:c r="J12" s="12" t="str">
        <x:v>rodotec.pdf</x:v>
      </x:c>
      <x:c r="K12" t="str">
        <x:v>1</x:v>
      </x:c>
      <x:c r="L12" t="str">
        <x:v>REVISAR_OK</x:v>
      </x:c>
      <x:c r="M12" t="str"/>
      <x:c r="N12" t="str">
        <x:v>SEM_ICMS</x:v>
      </x:c>
    </x:row>
    <x:row r="13">
      <x:c r="A13" s="12" t="str">
        <x:v>RO</x:v>
      </x:c>
      <x:c r="B13" s="12" t="str">
        <x:v>RODOTEC RO INTERIOR</x:v>
      </x:c>
      <x:c r="C13" s="12" t="str">
        <x:v>Alto Paraíso</x:v>
      </x:c>
      <x:c r="D13" s="12" t="str">
        <x:v>Guarulhos</x:v>
      </x:c>
      <x:c r="E13" s="12" t="str">
        <x:v>SP</x:v>
      </x:c>
      <x:c r="F13" s="12" t="str">
        <x:v>30%</x:v>
      </x:c>
      <x:c r="G13" s="12" t="n">
        <x:v>100</x:v>
      </x:c>
      <x:c r="H13" s="12" t="n">
        <x:v>720</x:v>
      </x:c>
      <x:c r="I13" s="12" t="str">
        <x:v>ROTA RODOVIARIO</x:v>
      </x:c>
      <x:c r="J13" s="12" t="str">
        <x:v>rodotec.pdf</x:v>
      </x:c>
      <x:c r="K13" t="str">
        <x:v>1</x:v>
      </x:c>
      <x:c r="L13" t="str">
        <x:v>REVISAR_OK</x:v>
      </x:c>
      <x:c r="M13" t="str"/>
      <x:c r="N13" t="str">
        <x:v>SEM_ICMS</x:v>
      </x:c>
    </x:row>
    <x:row r="14">
      <x:c r="A14" s="12" t="str">
        <x:v>RO</x:v>
      </x:c>
      <x:c r="B14" s="12" t="str">
        <x:v>RODOTEC RO INTERIOR</x:v>
      </x:c>
      <x:c r="C14" s="12" t="str">
        <x:v>Alvorada d'Oeste</x:v>
      </x:c>
      <x:c r="D14" s="12" t="str">
        <x:v>Guarulhos</x:v>
      </x:c>
      <x:c r="E14" s="12" t="str">
        <x:v>SP</x:v>
      </x:c>
      <x:c r="F14" s="12" t="str">
        <x:v>30%</x:v>
      </x:c>
      <x:c r="G14" s="12" t="n">
        <x:v>100</x:v>
      </x:c>
      <x:c r="H14" s="12" t="n">
        <x:v>720</x:v>
      </x:c>
      <x:c r="I14" s="12" t="str">
        <x:v>ROTA RODOVIARIO</x:v>
      </x:c>
      <x:c r="J14" s="12" t="str">
        <x:v>rodotec.pdf</x:v>
      </x:c>
      <x:c r="K14" t="str">
        <x:v>1</x:v>
      </x:c>
      <x:c r="L14" t="str">
        <x:v>REVISAR_OK</x:v>
      </x:c>
      <x:c r="M14" t="str"/>
      <x:c r="N14" t="str">
        <x:v>SEM_ICMS</x:v>
      </x:c>
    </x:row>
    <x:row r="15">
      <x:c r="A15" s="12" t="str">
        <x:v>RO</x:v>
      </x:c>
      <x:c r="B15" s="12" t="str">
        <x:v>RODOTEC RO INTERIOR</x:v>
      </x:c>
      <x:c r="C15" s="12" t="str">
        <x:v>Buritis</x:v>
      </x:c>
      <x:c r="D15" s="12" t="str">
        <x:v>Guarulhos</x:v>
      </x:c>
      <x:c r="E15" s="12" t="str">
        <x:v>SP</x:v>
      </x:c>
      <x:c r="F15" s="12" t="str">
        <x:v>30%</x:v>
      </x:c>
      <x:c r="G15" s="12" t="n">
        <x:v>100</x:v>
      </x:c>
      <x:c r="H15" s="12" t="n">
        <x:v>720</x:v>
      </x:c>
      <x:c r="I15" s="12" t="str">
        <x:v>ROTA RODOVIARIO</x:v>
      </x:c>
      <x:c r="J15" s="12" t="str">
        <x:v>rodotec.pdf</x:v>
      </x:c>
      <x:c r="K15" t="str">
        <x:v>1</x:v>
      </x:c>
      <x:c r="L15" t="str">
        <x:v>REVISAR_OK</x:v>
      </x:c>
      <x:c r="M15" t="str"/>
      <x:c r="N15" t="str">
        <x:v>SEM_ICMS</x:v>
      </x:c>
    </x:row>
    <x:row r="16">
      <x:c r="A16" s="12" t="str">
        <x:v>RO</x:v>
      </x:c>
      <x:c r="B16" s="12" t="str">
        <x:v>RODOTEC RO INTERIOR</x:v>
      </x:c>
      <x:c r="C16" s="12" t="str">
        <x:v>Cabixi</x:v>
      </x:c>
      <x:c r="D16" s="12" t="str">
        <x:v>Guarulhos</x:v>
      </x:c>
      <x:c r="E16" s="12" t="str">
        <x:v>SP</x:v>
      </x:c>
      <x:c r="F16" s="12" t="str">
        <x:v>30%</x:v>
      </x:c>
      <x:c r="G16" s="12" t="n">
        <x:v>100</x:v>
      </x:c>
      <x:c r="H16" s="12" t="n">
        <x:v>720</x:v>
      </x:c>
      <x:c r="I16" s="12" t="str">
        <x:v>ROTA RODOVIARIO</x:v>
      </x:c>
      <x:c r="J16" s="12" t="str">
        <x:v>rodotec.pdf</x:v>
      </x:c>
      <x:c r="K16" t="str">
        <x:v>1</x:v>
      </x:c>
      <x:c r="L16" t="str">
        <x:v>REVISAR_OK</x:v>
      </x:c>
      <x:c r="M16" t="str"/>
      <x:c r="N16" t="str">
        <x:v>SEM_ICMS</x:v>
      </x:c>
    </x:row>
    <x:row r="17">
      <x:c r="A17" s="12" t="str">
        <x:v>RO</x:v>
      </x:c>
      <x:c r="B17" s="12" t="str">
        <x:v>RODOTEC RO INTERIOR</x:v>
      </x:c>
      <x:c r="C17" s="12" t="str">
        <x:v>Cacaulândia</x:v>
      </x:c>
      <x:c r="D17" s="12" t="str">
        <x:v>Guarulhos</x:v>
      </x:c>
      <x:c r="E17" s="12" t="str">
        <x:v>SP</x:v>
      </x:c>
      <x:c r="F17" s="12" t="str">
        <x:v>30%</x:v>
      </x:c>
      <x:c r="G17" s="12" t="n">
        <x:v>100</x:v>
      </x:c>
      <x:c r="H17" s="12" t="n">
        <x:v>720</x:v>
      </x:c>
      <x:c r="I17" s="12" t="str">
        <x:v>ROTA RODOVIARIO</x:v>
      </x:c>
      <x:c r="J17" s="12" t="str">
        <x:v>rodotec.pdf</x:v>
      </x:c>
      <x:c r="K17" t="str">
        <x:v>1</x:v>
      </x:c>
      <x:c r="L17" t="str">
        <x:v>REVISAR_OK</x:v>
      </x:c>
      <x:c r="M17" t="str"/>
      <x:c r="N17" t="str">
        <x:v>SEM_ICMS</x:v>
      </x:c>
    </x:row>
    <x:row r="18">
      <x:c r="A18" s="12" t="str">
        <x:v>RO</x:v>
      </x:c>
      <x:c r="B18" s="12" t="str">
        <x:v>RODOTEC RO INTERIOR</x:v>
      </x:c>
      <x:c r="C18" s="12" t="str">
        <x:v>Campo Novo de Rondônia</x:v>
      </x:c>
      <x:c r="D18" s="12" t="str">
        <x:v>Guarulhos</x:v>
      </x:c>
      <x:c r="E18" s="12" t="str">
        <x:v>SP</x:v>
      </x:c>
      <x:c r="F18" s="12" t="str">
        <x:v>30%</x:v>
      </x:c>
      <x:c r="G18" s="12" t="n">
        <x:v>100</x:v>
      </x:c>
      <x:c r="H18" s="12" t="n">
        <x:v>720</x:v>
      </x:c>
      <x:c r="I18" s="12" t="str">
        <x:v>ROTA RODOVIARIO</x:v>
      </x:c>
      <x:c r="J18" s="12" t="str">
        <x:v>rodotec.pdf</x:v>
      </x:c>
      <x:c r="K18" t="str">
        <x:v>1</x:v>
      </x:c>
      <x:c r="L18" t="str">
        <x:v>REVISAR_OK</x:v>
      </x:c>
      <x:c r="M18" t="str"/>
      <x:c r="N18" t="str">
        <x:v>SEM_ICMS</x:v>
      </x:c>
    </x:row>
    <x:row r="19">
      <x:c r="A19" s="12" t="str">
        <x:v>RO</x:v>
      </x:c>
      <x:c r="B19" s="12" t="str">
        <x:v>RODOTEC RO INTERIOR</x:v>
      </x:c>
      <x:c r="C19" s="12" t="str">
        <x:v>Candeias do Jamari</x:v>
      </x:c>
      <x:c r="D19" s="12" t="str">
        <x:v>Guarulhos</x:v>
      </x:c>
      <x:c r="E19" s="12" t="str">
        <x:v>SP</x:v>
      </x:c>
      <x:c r="F19" s="12" t="str">
        <x:v>30%</x:v>
      </x:c>
      <x:c r="G19" s="12" t="n">
        <x:v>100</x:v>
      </x:c>
      <x:c r="H19" s="12" t="n">
        <x:v>720</x:v>
      </x:c>
      <x:c r="I19" s="12" t="str">
        <x:v>ROTA RODOVIARIO</x:v>
      </x:c>
      <x:c r="J19" s="12" t="str">
        <x:v>rodotec.pdf</x:v>
      </x:c>
      <x:c r="K19" t="str">
        <x:v>1</x:v>
      </x:c>
      <x:c r="L19" t="str">
        <x:v>REVISAR_OK</x:v>
      </x:c>
      <x:c r="M19" t="str"/>
      <x:c r="N19" t="str">
        <x:v>SEM_ICMS</x:v>
      </x:c>
    </x:row>
    <x:row r="20">
      <x:c r="A20" s="12" t="str">
        <x:v>RO</x:v>
      </x:c>
      <x:c r="B20" s="12" t="str">
        <x:v>RODOTEC RO INTERIOR</x:v>
      </x:c>
      <x:c r="C20" s="12" t="str">
        <x:v>Castanheiras</x:v>
      </x:c>
      <x:c r="D20" s="12" t="str">
        <x:v>Guarulhos</x:v>
      </x:c>
      <x:c r="E20" s="12" t="str">
        <x:v>SP</x:v>
      </x:c>
      <x:c r="F20" s="12" t="str">
        <x:v>30%</x:v>
      </x:c>
      <x:c r="G20" s="12" t="n">
        <x:v>100</x:v>
      </x:c>
      <x:c r="H20" s="12" t="n">
        <x:v>720</x:v>
      </x:c>
      <x:c r="I20" s="12" t="str">
        <x:v>ROTA RODOVIARIO</x:v>
      </x:c>
      <x:c r="J20" s="12" t="str">
        <x:v>rodotec.pdf</x:v>
      </x:c>
      <x:c r="K20" t="str">
        <x:v>1</x:v>
      </x:c>
      <x:c r="L20" t="str">
        <x:v>REVISAR_OK</x:v>
      </x:c>
      <x:c r="M20" t="str"/>
      <x:c r="N20" t="str">
        <x:v>SEM_ICMS</x:v>
      </x:c>
    </x:row>
    <x:row r="21">
      <x:c r="A21" s="12" t="str">
        <x:v>RO</x:v>
      </x:c>
      <x:c r="B21" s="12" t="str">
        <x:v>RODOTEC RO INTERIOR</x:v>
      </x:c>
      <x:c r="C21" s="12" t="str">
        <x:v>Cerejeiras</x:v>
      </x:c>
      <x:c r="D21" s="12" t="str">
        <x:v>Guarulhos</x:v>
      </x:c>
      <x:c r="E21" s="12" t="str">
        <x:v>SP</x:v>
      </x:c>
      <x:c r="F21" s="12" t="str">
        <x:v>30%</x:v>
      </x:c>
      <x:c r="G21" s="12" t="n">
        <x:v>100</x:v>
      </x:c>
      <x:c r="H21" s="12" t="n">
        <x:v>720</x:v>
      </x:c>
      <x:c r="I21" s="12" t="str">
        <x:v>ROTA RODOVIARIO</x:v>
      </x:c>
      <x:c r="J21" s="12" t="str">
        <x:v>rodotec.pdf</x:v>
      </x:c>
      <x:c r="K21" t="str">
        <x:v>1</x:v>
      </x:c>
      <x:c r="L21" t="str">
        <x:v>REVISAR_OK</x:v>
      </x:c>
      <x:c r="M21" t="str"/>
      <x:c r="N21" t="str">
        <x:v>SEM_ICMS</x:v>
      </x:c>
    </x:row>
    <x:row r="22">
      <x:c r="A22" s="12" t="str">
        <x:v>RO</x:v>
      </x:c>
      <x:c r="B22" s="12" t="str">
        <x:v>RODOTEC RO INTERIOR</x:v>
      </x:c>
      <x:c r="C22" s="12" t="str">
        <x:v>Chupinguaia</x:v>
      </x:c>
      <x:c r="D22" s="12" t="str">
        <x:v>Guarulhos</x:v>
      </x:c>
      <x:c r="E22" s="12" t="str">
        <x:v>SP</x:v>
      </x:c>
      <x:c r="F22" s="12" t="str">
        <x:v>30%</x:v>
      </x:c>
      <x:c r="G22" s="12" t="n">
        <x:v>100</x:v>
      </x:c>
      <x:c r="H22" s="12" t="n">
        <x:v>720</x:v>
      </x:c>
      <x:c r="I22" s="12" t="str">
        <x:v>ROTA RODOVIARIO</x:v>
      </x:c>
      <x:c r="J22" s="12" t="str">
        <x:v>rodotec.pdf</x:v>
      </x:c>
      <x:c r="K22" t="str">
        <x:v>1</x:v>
      </x:c>
      <x:c r="L22" t="str">
        <x:v>REVISAR_OK</x:v>
      </x:c>
      <x:c r="M22" t="str"/>
      <x:c r="N22" t="str">
        <x:v>SEM_ICMS</x:v>
      </x:c>
    </x:row>
    <x:row r="23">
      <x:c r="A23" s="12" t="str">
        <x:v>RO</x:v>
      </x:c>
      <x:c r="B23" s="12" t="str">
        <x:v>RODOTEC RO INTERIOR</x:v>
      </x:c>
      <x:c r="C23" s="12" t="str">
        <x:v>Colorado do Oeste</x:v>
      </x:c>
      <x:c r="D23" s="12" t="str">
        <x:v>Guarulhos</x:v>
      </x:c>
      <x:c r="E23" s="12" t="str">
        <x:v>SP</x:v>
      </x:c>
      <x:c r="F23" s="12" t="str">
        <x:v>30%</x:v>
      </x:c>
      <x:c r="G23" s="12" t="n">
        <x:v>100</x:v>
      </x:c>
      <x:c r="H23" s="12" t="n">
        <x:v>720</x:v>
      </x:c>
      <x:c r="I23" s="12" t="str">
        <x:v>ROTA RODOVIARIO</x:v>
      </x:c>
      <x:c r="J23" s="12" t="str">
        <x:v>rodotec.pdf</x:v>
      </x:c>
      <x:c r="K23" t="str">
        <x:v>1</x:v>
      </x:c>
      <x:c r="L23" t="str">
        <x:v>REVISAR_OK</x:v>
      </x:c>
      <x:c r="M23" t="str"/>
      <x:c r="N23" t="str">
        <x:v>SEM_ICMS</x:v>
      </x:c>
    </x:row>
    <x:row r="24">
      <x:c r="A24" s="12" t="str">
        <x:v>RO</x:v>
      </x:c>
      <x:c r="B24" s="12" t="str">
        <x:v>RODOTEC RO INTERIOR</x:v>
      </x:c>
      <x:c r="C24" s="12" t="str">
        <x:v>Corumbiara</x:v>
      </x:c>
      <x:c r="D24" s="12" t="str">
        <x:v>Guarulhos</x:v>
      </x:c>
      <x:c r="E24" s="12" t="str">
        <x:v>SP</x:v>
      </x:c>
      <x:c r="F24" s="12" t="str">
        <x:v>30%</x:v>
      </x:c>
      <x:c r="G24" s="12" t="n">
        <x:v>100</x:v>
      </x:c>
      <x:c r="H24" s="12" t="n">
        <x:v>720</x:v>
      </x:c>
      <x:c r="I24" s="12" t="str">
        <x:v>ROTA RODOVIARIO</x:v>
      </x:c>
      <x:c r="J24" s="12" t="str">
        <x:v>rodotec.pdf</x:v>
      </x:c>
      <x:c r="K24" t="str">
        <x:v>1</x:v>
      </x:c>
      <x:c r="L24" t="str">
        <x:v>REVISAR_OK</x:v>
      </x:c>
      <x:c r="M24" t="str"/>
      <x:c r="N24" t="str">
        <x:v>SEM_ICMS</x:v>
      </x:c>
    </x:row>
    <x:row r="25">
      <x:c r="A25" s="12" t="str">
        <x:v>RO</x:v>
      </x:c>
      <x:c r="B25" s="12" t="str">
        <x:v>RODOTEC RO INTERIOR</x:v>
      </x:c>
      <x:c r="C25" s="12" t="str">
        <x:v>Costa Marques</x:v>
      </x:c>
      <x:c r="D25" s="12" t="str">
        <x:v>Guarulhos</x:v>
      </x:c>
      <x:c r="E25" s="12" t="str">
        <x:v>SP</x:v>
      </x:c>
      <x:c r="F25" s="12" t="str">
        <x:v>30%</x:v>
      </x:c>
      <x:c r="G25" s="12" t="n">
        <x:v>100</x:v>
      </x:c>
      <x:c r="H25" s="12" t="n">
        <x:v>720</x:v>
      </x:c>
      <x:c r="I25" s="12" t="str">
        <x:v>ROTA RODOVIARIO</x:v>
      </x:c>
      <x:c r="J25" s="12" t="str">
        <x:v>rodotec.pdf</x:v>
      </x:c>
      <x:c r="K25" t="str">
        <x:v>1</x:v>
      </x:c>
      <x:c r="L25" t="str">
        <x:v>REVISAR_OK</x:v>
      </x:c>
      <x:c r="M25" t="str"/>
      <x:c r="N25" t="str">
        <x:v>SEM_ICMS</x:v>
      </x:c>
    </x:row>
    <x:row r="26">
      <x:c r="A26" s="12" t="str">
        <x:v>RO</x:v>
      </x:c>
      <x:c r="B26" s="12" t="str">
        <x:v>RODOTEC RO INTERIOR</x:v>
      </x:c>
      <x:c r="C26" s="12" t="str">
        <x:v>Cujubim</x:v>
      </x:c>
      <x:c r="D26" s="12" t="str">
        <x:v>Guarulhos</x:v>
      </x:c>
      <x:c r="E26" s="12" t="str">
        <x:v>SP</x:v>
      </x:c>
      <x:c r="F26" s="12" t="str">
        <x:v>30%</x:v>
      </x:c>
      <x:c r="G26" s="12" t="n">
        <x:v>100</x:v>
      </x:c>
      <x:c r="H26" s="12" t="n">
        <x:v>720</x:v>
      </x:c>
      <x:c r="I26" s="12" t="str">
        <x:v>ROTA RODOVIARIO</x:v>
      </x:c>
      <x:c r="J26" s="12" t="str">
        <x:v>rodotec.pdf</x:v>
      </x:c>
      <x:c r="K26" t="str">
        <x:v>1</x:v>
      </x:c>
      <x:c r="L26" t="str">
        <x:v>REVISAR_OK</x:v>
      </x:c>
      <x:c r="M26" t="str"/>
      <x:c r="N26" t="str">
        <x:v>SEM_ICMS</x:v>
      </x:c>
    </x:row>
    <x:row r="27">
      <x:c r="A27" s="12" t="str">
        <x:v>RO</x:v>
      </x:c>
      <x:c r="B27" s="12" t="str">
        <x:v>RODOTEC RO INTERIOR</x:v>
      </x:c>
      <x:c r="C27" s="12" t="str">
        <x:v>Espigão d'Oeste</x:v>
      </x:c>
      <x:c r="D27" s="12" t="str">
        <x:v>Guarulhos</x:v>
      </x:c>
      <x:c r="E27" s="12" t="str">
        <x:v>SP</x:v>
      </x:c>
      <x:c r="F27" s="12" t="str">
        <x:v>30%</x:v>
      </x:c>
      <x:c r="G27" s="12" t="n">
        <x:v>100</x:v>
      </x:c>
      <x:c r="H27" s="12" t="n">
        <x:v>720</x:v>
      </x:c>
      <x:c r="I27" s="12" t="str">
        <x:v>ROTA RODOVIARIO</x:v>
      </x:c>
      <x:c r="J27" s="12" t="str">
        <x:v>rodotec.pdf</x:v>
      </x:c>
      <x:c r="K27" t="str">
        <x:v>1</x:v>
      </x:c>
      <x:c r="L27" t="str">
        <x:v>REVISAR_OK</x:v>
      </x:c>
      <x:c r="M27" t="str"/>
      <x:c r="N27" t="str">
        <x:v>SEM_ICMS</x:v>
      </x:c>
    </x:row>
    <x:row r="28">
      <x:c r="A28" s="12" t="str">
        <x:v>RO</x:v>
      </x:c>
      <x:c r="B28" s="12" t="str">
        <x:v>RODOTEC RO INTERIOR</x:v>
      </x:c>
      <x:c r="C28" s="12" t="str">
        <x:v>Extrema</x:v>
      </x:c>
      <x:c r="D28" s="12" t="str">
        <x:v>Guarulhos</x:v>
      </x:c>
      <x:c r="E28" s="12" t="str">
        <x:v>SP</x:v>
      </x:c>
      <x:c r="F28" s="12" t="str">
        <x:v>30%</x:v>
      </x:c>
      <x:c r="G28" s="12" t="n">
        <x:v>100</x:v>
      </x:c>
      <x:c r="H28" s="12" t="n">
        <x:v>720</x:v>
      </x:c>
      <x:c r="I28" s="12" t="str">
        <x:v>ROTA RODOVIARIO</x:v>
      </x:c>
      <x:c r="J28" s="12" t="str">
        <x:v>rodotec.pdf</x:v>
      </x:c>
      <x:c r="K28" t="str">
        <x:v>1</x:v>
      </x:c>
      <x:c r="L28" t="str">
        <x:v>REVISAR_OK</x:v>
      </x:c>
      <x:c r="M28" t="str"/>
      <x:c r="N28" t="str">
        <x:v>SEM_ICMS</x:v>
      </x:c>
    </x:row>
    <x:row r="29">
      <x:c r="A29" s="12" t="str">
        <x:v>RO</x:v>
      </x:c>
      <x:c r="B29" s="12" t="str">
        <x:v>RODOTEC RO INTERIOR</x:v>
      </x:c>
      <x:c r="C29" s="12" t="str">
        <x:v>Garimpo Bom Futuro</x:v>
      </x:c>
      <x:c r="D29" s="12" t="str">
        <x:v>Guarulhos</x:v>
      </x:c>
      <x:c r="E29" s="12" t="str">
        <x:v>SP</x:v>
      </x:c>
      <x:c r="F29" s="12" t="str">
        <x:v>30%</x:v>
      </x:c>
      <x:c r="G29" s="12" t="n">
        <x:v>100</x:v>
      </x:c>
      <x:c r="H29" s="12" t="n">
        <x:v>720</x:v>
      </x:c>
      <x:c r="I29" s="12" t="str">
        <x:v>ROTA RODOVIARIO</x:v>
      </x:c>
      <x:c r="J29" s="12" t="str">
        <x:v>rodotec.pdf</x:v>
      </x:c>
      <x:c r="K29" t="str">
        <x:v>1</x:v>
      </x:c>
      <x:c r="L29" t="str">
        <x:v>REVISAR_OK</x:v>
      </x:c>
      <x:c r="M29" t="str"/>
      <x:c r="N29" t="str">
        <x:v>SEM_ICMS</x:v>
      </x:c>
    </x:row>
    <x:row r="30">
      <x:c r="A30" s="12" t="str">
        <x:v>RO</x:v>
      </x:c>
      <x:c r="B30" s="12" t="str">
        <x:v>RODOTEC RO INTERIOR</x:v>
      </x:c>
      <x:c r="C30" s="12" t="str">
        <x:v>Gov. Jorge Teixeira</x:v>
      </x:c>
      <x:c r="D30" s="12" t="str">
        <x:v>Guarulhos</x:v>
      </x:c>
      <x:c r="E30" s="12" t="str">
        <x:v>SP</x:v>
      </x:c>
      <x:c r="F30" s="12" t="str">
        <x:v>30%</x:v>
      </x:c>
      <x:c r="G30" s="12" t="n">
        <x:v>100</x:v>
      </x:c>
      <x:c r="H30" s="12" t="n">
        <x:v>720</x:v>
      </x:c>
      <x:c r="I30" s="12" t="str">
        <x:v>ROTA RODOVIARIO</x:v>
      </x:c>
      <x:c r="J30" s="12" t="str">
        <x:v>rodotec.pdf</x:v>
      </x:c>
      <x:c r="K30" t="str">
        <x:v>1</x:v>
      </x:c>
      <x:c r="L30" t="str">
        <x:v>REVISAR_OK</x:v>
      </x:c>
      <x:c r="M30" t="str"/>
      <x:c r="N30" t="str">
        <x:v>SEM_ICMS</x:v>
      </x:c>
    </x:row>
    <x:row r="31">
      <x:c r="A31" s="12" t="str">
        <x:v>RO</x:v>
      </x:c>
      <x:c r="B31" s="12" t="str">
        <x:v>RODOTEC RO INTERIOR</x:v>
      </x:c>
      <x:c r="C31" s="12" t="str">
        <x:v>Guajará-Mirim</x:v>
      </x:c>
      <x:c r="D31" s="12" t="str">
        <x:v>Guarulhos</x:v>
      </x:c>
      <x:c r="E31" s="12" t="str">
        <x:v>SP</x:v>
      </x:c>
      <x:c r="F31" s="12" t="str">
        <x:v>30%</x:v>
      </x:c>
      <x:c r="G31" s="12" t="n">
        <x:v>100</x:v>
      </x:c>
      <x:c r="H31" s="12" t="n">
        <x:v>720</x:v>
      </x:c>
      <x:c r="I31" s="12" t="str">
        <x:v>ROTA RODOVIARIO</x:v>
      </x:c>
      <x:c r="J31" s="12" t="str">
        <x:v>rodotec.pdf</x:v>
      </x:c>
      <x:c r="K31" t="str">
        <x:v>1</x:v>
      </x:c>
      <x:c r="L31" t="str">
        <x:v>REVISAR_OK</x:v>
      </x:c>
      <x:c r="M31" t="str"/>
      <x:c r="N31" t="str">
        <x:v>SEM_ICMS</x:v>
      </x:c>
    </x:row>
    <x:row r="32">
      <x:c r="A32" s="12" t="str">
        <x:v>RO</x:v>
      </x:c>
      <x:c r="B32" s="12" t="str">
        <x:v>RODOTEC RO INTERIOR</x:v>
      </x:c>
      <x:c r="C32" s="12" t="str">
        <x:v>Itapuã do Oeste</x:v>
      </x:c>
      <x:c r="D32" s="12" t="str">
        <x:v>Guarulhos</x:v>
      </x:c>
      <x:c r="E32" s="12" t="str">
        <x:v>SP</x:v>
      </x:c>
      <x:c r="F32" s="12" t="str">
        <x:v>30%</x:v>
      </x:c>
      <x:c r="G32" s="12" t="n">
        <x:v>100</x:v>
      </x:c>
      <x:c r="H32" s="12" t="n">
        <x:v>720</x:v>
      </x:c>
      <x:c r="I32" s="12" t="str">
        <x:v>ROTA RODOVIARIO</x:v>
      </x:c>
      <x:c r="J32" s="12" t="str">
        <x:v>rodotec.pdf</x:v>
      </x:c>
      <x:c r="K32" t="str">
        <x:v>1</x:v>
      </x:c>
      <x:c r="L32" t="str">
        <x:v>REVISAR_OK</x:v>
      </x:c>
      <x:c r="M32" t="str"/>
      <x:c r="N32" t="str">
        <x:v>SEM_ICMS</x:v>
      </x:c>
    </x:row>
    <x:row r="33">
      <x:c r="A33" s="12" t="str">
        <x:v>RO</x:v>
      </x:c>
      <x:c r="B33" s="12" t="str">
        <x:v>RODOTEC RO DISTRITO</x:v>
      </x:c>
      <x:c r="C33" s="12" t="str">
        <x:v>Jaci-Paraná</x:v>
      </x:c>
      <x:c r="D33" s="12" t="str">
        <x:v>Guarulhos</x:v>
      </x:c>
      <x:c r="E33" s="12" t="str">
        <x:v>SP</x:v>
      </x:c>
      <x:c r="F33" s="12" t="str">
        <x:v>30%</x:v>
      </x:c>
      <x:c r="G33" s="12" t="n">
        <x:v>100</x:v>
      </x:c>
      <x:c r="H33" s="12" t="n">
        <x:v>720</x:v>
      </x:c>
      <x:c r="I33" s="12" t="str">
        <x:v>ROTA RODOVIARIO</x:v>
      </x:c>
      <x:c r="J33" s="12" t="str">
        <x:v>rodotec.pdf</x:v>
      </x:c>
      <x:c r="K33" t="str">
        <x:v>1</x:v>
      </x:c>
      <x:c r="L33" t="str">
        <x:v>REVISAR_OK</x:v>
      </x:c>
      <x:c r="M33" t="str"/>
      <x:c r="N33" t="str">
        <x:v>SEM_ICMS</x:v>
      </x:c>
    </x:row>
    <x:row r="34">
      <x:c r="A34" s="12" t="str">
        <x:v>RO</x:v>
      </x:c>
      <x:c r="B34" s="12" t="str">
        <x:v>RODOTEC RO INTERIOR</x:v>
      </x:c>
      <x:c r="C34" s="12" t="str">
        <x:v>Machadinho d'Oeste</x:v>
      </x:c>
      <x:c r="D34" s="12" t="str">
        <x:v>Guarulhos</x:v>
      </x:c>
      <x:c r="E34" s="12" t="str">
        <x:v>SP</x:v>
      </x:c>
      <x:c r="F34" s="12" t="str">
        <x:v>30%</x:v>
      </x:c>
      <x:c r="G34" s="12" t="n">
        <x:v>100</x:v>
      </x:c>
      <x:c r="H34" s="12" t="n">
        <x:v>720</x:v>
      </x:c>
      <x:c r="I34" s="12" t="str">
        <x:v>ROTA RODOVIARIO</x:v>
      </x:c>
      <x:c r="J34" s="12" t="str">
        <x:v>rodotec.pdf</x:v>
      </x:c>
      <x:c r="K34" t="str">
        <x:v>1</x:v>
      </x:c>
      <x:c r="L34" t="str">
        <x:v>REVISAR_OK</x:v>
      </x:c>
      <x:c r="M34" t="str"/>
      <x:c r="N34" t="str">
        <x:v>SEM_ICMS</x:v>
      </x:c>
    </x:row>
    <x:row r="35">
      <x:c r="A35" s="12" t="str">
        <x:v>RO</x:v>
      </x:c>
      <x:c r="B35" s="12" t="str">
        <x:v>RODOTEC RO INTERIOR</x:v>
      </x:c>
      <x:c r="C35" s="12" t="str">
        <x:v>Ministro Andreazza</x:v>
      </x:c>
      <x:c r="D35" s="12" t="str">
        <x:v>Guarulhos</x:v>
      </x:c>
      <x:c r="E35" s="12" t="str">
        <x:v>SP</x:v>
      </x:c>
      <x:c r="F35" s="12" t="str">
        <x:v>30%</x:v>
      </x:c>
      <x:c r="G35" s="12" t="n">
        <x:v>100</x:v>
      </x:c>
      <x:c r="H35" s="12" t="n">
        <x:v>720</x:v>
      </x:c>
      <x:c r="I35" s="12" t="str">
        <x:v>ROTA RODOVIARIO</x:v>
      </x:c>
      <x:c r="J35" s="12" t="str">
        <x:v>rodotec.pdf</x:v>
      </x:c>
      <x:c r="K35" t="str">
        <x:v>1</x:v>
      </x:c>
      <x:c r="L35" t="str">
        <x:v>REVISAR_OK</x:v>
      </x:c>
      <x:c r="M35" t="str"/>
      <x:c r="N35" t="str">
        <x:v>SEM_ICMS</x:v>
      </x:c>
    </x:row>
    <x:row r="36">
      <x:c r="A36" s="12" t="str">
        <x:v>RO</x:v>
      </x:c>
      <x:c r="B36" s="12" t="str">
        <x:v>RODOTEC RO INTERIOR</x:v>
      </x:c>
      <x:c r="C36" s="12" t="str">
        <x:v>Mirante da Serra</x:v>
      </x:c>
      <x:c r="D36" s="12" t="str">
        <x:v>Guarulhos</x:v>
      </x:c>
      <x:c r="E36" s="12" t="str">
        <x:v>SP</x:v>
      </x:c>
      <x:c r="F36" s="12" t="str">
        <x:v>30%</x:v>
      </x:c>
      <x:c r="G36" s="12" t="n">
        <x:v>100</x:v>
      </x:c>
      <x:c r="H36" s="12" t="n">
        <x:v>720</x:v>
      </x:c>
      <x:c r="I36" s="12" t="str">
        <x:v>ROTA RODOVIARIO</x:v>
      </x:c>
      <x:c r="J36" s="12" t="str">
        <x:v>rodotec.pdf</x:v>
      </x:c>
      <x:c r="K36" t="str">
        <x:v>1</x:v>
      </x:c>
      <x:c r="L36" t="str">
        <x:v>REVISAR_OK</x:v>
      </x:c>
      <x:c r="M36" t="str"/>
      <x:c r="N36" t="str">
        <x:v>SEM_ICMS</x:v>
      </x:c>
    </x:row>
    <x:row r="37">
      <x:c r="A37" s="12" t="str">
        <x:v>RO</x:v>
      </x:c>
      <x:c r="B37" s="12" t="str">
        <x:v>RODOTEC RO INTERIOR</x:v>
      </x:c>
      <x:c r="C37" s="12" t="str">
        <x:v>Monte Negro</x:v>
      </x:c>
      <x:c r="D37" s="12" t="str">
        <x:v>Guarulhos</x:v>
      </x:c>
      <x:c r="E37" s="12" t="str">
        <x:v>SP</x:v>
      </x:c>
      <x:c r="F37" s="12" t="str">
        <x:v>30%</x:v>
      </x:c>
      <x:c r="G37" s="12" t="n">
        <x:v>100</x:v>
      </x:c>
      <x:c r="H37" s="12" t="n">
        <x:v>720</x:v>
      </x:c>
      <x:c r="I37" s="12" t="str">
        <x:v>ROTA RODOVIARIO</x:v>
      </x:c>
      <x:c r="J37" s="12" t="str">
        <x:v>rodotec.pdf</x:v>
      </x:c>
      <x:c r="K37" t="str">
        <x:v>1</x:v>
      </x:c>
      <x:c r="L37" t="str">
        <x:v>REVISAR_OK</x:v>
      </x:c>
      <x:c r="M37" t="str"/>
      <x:c r="N37" t="str">
        <x:v>SEM_ICMS</x:v>
      </x:c>
    </x:row>
    <x:row r="38">
      <x:c r="A38" s="12" t="str">
        <x:v>RO</x:v>
      </x:c>
      <x:c r="B38" s="12" t="str">
        <x:v>RODOTEC RO INTERIOR</x:v>
      </x:c>
      <x:c r="C38" s="12" t="str">
        <x:v>Nova Brasilândia d'Oeste</x:v>
      </x:c>
      <x:c r="D38" s="12" t="str">
        <x:v>Guarulhos</x:v>
      </x:c>
      <x:c r="E38" s="12" t="str">
        <x:v>SP</x:v>
      </x:c>
      <x:c r="F38" s="12" t="str">
        <x:v>30%</x:v>
      </x:c>
      <x:c r="G38" s="12" t="n">
        <x:v>100</x:v>
      </x:c>
      <x:c r="H38" s="12" t="n">
        <x:v>720</x:v>
      </x:c>
      <x:c r="I38" s="12" t="str">
        <x:v>ROTA RODOVIARIO</x:v>
      </x:c>
      <x:c r="J38" s="12" t="str">
        <x:v>rodotec.pdf</x:v>
      </x:c>
      <x:c r="K38" t="str">
        <x:v>1</x:v>
      </x:c>
      <x:c r="L38" t="str">
        <x:v>REVISAR_OK</x:v>
      </x:c>
      <x:c r="M38" t="str"/>
      <x:c r="N38" t="str">
        <x:v>SEM_ICMS</x:v>
      </x:c>
    </x:row>
    <x:row r="39">
      <x:c r="A39" s="12" t="str">
        <x:v>RO</x:v>
      </x:c>
      <x:c r="B39" s="12" t="str">
        <x:v>RODOTEC RO INTERIOR</x:v>
      </x:c>
      <x:c r="C39" s="12" t="str">
        <x:v>Nova Califórnia</x:v>
      </x:c>
      <x:c r="D39" s="12" t="str">
        <x:v>Guarulhos</x:v>
      </x:c>
      <x:c r="E39" s="12" t="str">
        <x:v>SP</x:v>
      </x:c>
      <x:c r="F39" s="12" t="str">
        <x:v>30%</x:v>
      </x:c>
      <x:c r="G39" s="12" t="n">
        <x:v>100</x:v>
      </x:c>
      <x:c r="H39" s="12" t="n">
        <x:v>720</x:v>
      </x:c>
      <x:c r="I39" s="12" t="str">
        <x:v>ROTA RODOVIARIO</x:v>
      </x:c>
      <x:c r="J39" s="12" t="str">
        <x:v>rodotec.pdf</x:v>
      </x:c>
      <x:c r="K39" t="str">
        <x:v>1</x:v>
      </x:c>
      <x:c r="L39" t="str">
        <x:v>REVISAR_OK</x:v>
      </x:c>
      <x:c r="M39" t="str"/>
      <x:c r="N39" t="str">
        <x:v>SEM_ICMS</x:v>
      </x:c>
    </x:row>
    <x:row r="40">
      <x:c r="A40" s="12" t="str">
        <x:v>RO</x:v>
      </x:c>
      <x:c r="B40" s="12" t="str">
        <x:v>RODOTEC RO INTERIOR</x:v>
      </x:c>
      <x:c r="C40" s="12" t="str">
        <x:v>Nova Mamoré</x:v>
      </x:c>
      <x:c r="D40" s="12" t="str">
        <x:v>Guarulhos</x:v>
      </x:c>
      <x:c r="E40" s="12" t="str">
        <x:v>SP</x:v>
      </x:c>
      <x:c r="F40" s="12" t="str">
        <x:v>30%</x:v>
      </x:c>
      <x:c r="G40" s="12" t="n">
        <x:v>100</x:v>
      </x:c>
      <x:c r="H40" s="12" t="n">
        <x:v>720</x:v>
      </x:c>
      <x:c r="I40" s="12" t="str">
        <x:v>ROTA RODOVIARIO</x:v>
      </x:c>
      <x:c r="J40" s="12" t="str">
        <x:v>rodotec.pdf</x:v>
      </x:c>
      <x:c r="K40" t="str">
        <x:v>1</x:v>
      </x:c>
      <x:c r="L40" t="str">
        <x:v>REVISAR_OK</x:v>
      </x:c>
      <x:c r="M40" t="str"/>
      <x:c r="N40" t="str">
        <x:v>SEM_ICMS</x:v>
      </x:c>
    </x:row>
    <x:row r="41">
      <x:c r="A41" s="12" t="str">
        <x:v>RO</x:v>
      </x:c>
      <x:c r="B41" s="12" t="str">
        <x:v>RODOTEC RO INTERIOR</x:v>
      </x:c>
      <x:c r="C41" s="12" t="str">
        <x:v>Nova Mutum</x:v>
      </x:c>
      <x:c r="D41" s="12" t="str">
        <x:v>Guarulhos</x:v>
      </x:c>
      <x:c r="E41" s="12" t="str">
        <x:v>SP</x:v>
      </x:c>
      <x:c r="F41" s="12" t="str">
        <x:v>30%</x:v>
      </x:c>
      <x:c r="G41" s="12" t="n">
        <x:v>100</x:v>
      </x:c>
      <x:c r="H41" s="12" t="n">
        <x:v>720</x:v>
      </x:c>
      <x:c r="I41" s="12" t="str">
        <x:v>ROTA RODOVIARIO</x:v>
      </x:c>
      <x:c r="J41" s="12" t="str">
        <x:v>rodotec.pdf</x:v>
      </x:c>
      <x:c r="K41" t="str">
        <x:v>1</x:v>
      </x:c>
      <x:c r="L41" t="str">
        <x:v>REVISAR_OK</x:v>
      </x:c>
      <x:c r="M41" t="str"/>
      <x:c r="N41" t="str">
        <x:v>SEM_ICMS</x:v>
      </x:c>
    </x:row>
    <x:row r="42">
      <x:c r="A42" s="12" t="str">
        <x:v>RO</x:v>
      </x:c>
      <x:c r="B42" s="12" t="str">
        <x:v>RODOTEC RO INTERIOR</x:v>
      </x:c>
      <x:c r="C42" s="12" t="str">
        <x:v>Nova União</x:v>
      </x:c>
      <x:c r="D42" s="12" t="str">
        <x:v>Guarulhos</x:v>
      </x:c>
      <x:c r="E42" s="12" t="str">
        <x:v>SP</x:v>
      </x:c>
      <x:c r="F42" s="12" t="str">
        <x:v>30%</x:v>
      </x:c>
      <x:c r="G42" s="12" t="n">
        <x:v>100</x:v>
      </x:c>
      <x:c r="H42" s="12" t="n">
        <x:v>720</x:v>
      </x:c>
      <x:c r="I42" s="12" t="str">
        <x:v>ROTA RODOVIARIO</x:v>
      </x:c>
      <x:c r="J42" s="12" t="str">
        <x:v>rodotec.pdf</x:v>
      </x:c>
      <x:c r="K42" t="str">
        <x:v>1</x:v>
      </x:c>
      <x:c r="L42" t="str">
        <x:v>REVISAR_OK</x:v>
      </x:c>
      <x:c r="M42" t="str"/>
      <x:c r="N42" t="str">
        <x:v>SEM_ICMS</x:v>
      </x:c>
    </x:row>
    <x:row r="43">
      <x:c r="A43" s="12" t="str">
        <x:v>RO</x:v>
      </x:c>
      <x:c r="B43" s="12" t="str">
        <x:v>RODOTEC RO INTERIOR</x:v>
      </x:c>
      <x:c r="C43" s="12" t="str">
        <x:v>Novo Horizonte do Oeste</x:v>
      </x:c>
      <x:c r="D43" s="12" t="str">
        <x:v>Guarulhos</x:v>
      </x:c>
      <x:c r="E43" s="12" t="str">
        <x:v>SP</x:v>
      </x:c>
      <x:c r="F43" s="12" t="str">
        <x:v>30%</x:v>
      </x:c>
      <x:c r="G43" s="12" t="n">
        <x:v>100</x:v>
      </x:c>
      <x:c r="H43" s="12" t="n">
        <x:v>720</x:v>
      </x:c>
      <x:c r="I43" s="12" t="str">
        <x:v>ROTA RODOVIARIO</x:v>
      </x:c>
      <x:c r="J43" s="12" t="str">
        <x:v>rodotec.pdf</x:v>
      </x:c>
      <x:c r="K43" t="str">
        <x:v>1</x:v>
      </x:c>
      <x:c r="L43" t="str">
        <x:v>REVISAR_OK</x:v>
      </x:c>
      <x:c r="M43" t="str"/>
      <x:c r="N43" t="str">
        <x:v>SEM_ICMS</x:v>
      </x:c>
    </x:row>
    <x:row r="44">
      <x:c r="A44" s="12" t="str">
        <x:v>RO</x:v>
      </x:c>
      <x:c r="B44" s="12" t="str">
        <x:v>RODOTEC RO INTERIOR</x:v>
      </x:c>
      <x:c r="C44" s="12" t="str">
        <x:v>Parecis</x:v>
      </x:c>
      <x:c r="D44" s="12" t="str">
        <x:v>Guarulhos</x:v>
      </x:c>
      <x:c r="E44" s="12" t="str">
        <x:v>SP</x:v>
      </x:c>
      <x:c r="F44" s="12" t="str">
        <x:v>30%</x:v>
      </x:c>
      <x:c r="G44" s="12" t="n">
        <x:v>100</x:v>
      </x:c>
      <x:c r="H44" s="12" t="n">
        <x:v>720</x:v>
      </x:c>
      <x:c r="I44" s="12" t="str">
        <x:v>ROTA RODOVIARIO</x:v>
      </x:c>
      <x:c r="J44" s="12" t="str">
        <x:v>rodotec.pdf</x:v>
      </x:c>
      <x:c r="K44" t="str">
        <x:v>1</x:v>
      </x:c>
      <x:c r="L44" t="str">
        <x:v>REVISAR_OK</x:v>
      </x:c>
      <x:c r="M44" t="str"/>
      <x:c r="N44" t="str">
        <x:v>SEM_ICMS</x:v>
      </x:c>
    </x:row>
    <x:row r="45">
      <x:c r="A45" s="12" t="str">
        <x:v>RO</x:v>
      </x:c>
      <x:c r="B45" s="12" t="str">
        <x:v>RODOTEC RO INTERIOR</x:v>
      </x:c>
      <x:c r="C45" s="12" t="str">
        <x:v>Presidente Médici</x:v>
      </x:c>
      <x:c r="D45" s="12" t="str">
        <x:v>Guarulhos</x:v>
      </x:c>
      <x:c r="E45" s="12" t="str">
        <x:v>SP</x:v>
      </x:c>
      <x:c r="F45" s="12" t="str">
        <x:v>30%</x:v>
      </x:c>
      <x:c r="G45" s="12" t="n">
        <x:v>100</x:v>
      </x:c>
      <x:c r="H45" s="12" t="n">
        <x:v>720</x:v>
      </x:c>
      <x:c r="I45" s="12" t="str">
        <x:v>ROTA RODOVIARIO</x:v>
      </x:c>
      <x:c r="J45" s="12" t="str">
        <x:v>rodotec.pdf</x:v>
      </x:c>
      <x:c r="K45" t="str">
        <x:v>1</x:v>
      </x:c>
      <x:c r="L45" t="str">
        <x:v>REVISAR_OK</x:v>
      </x:c>
      <x:c r="M45" t="str"/>
      <x:c r="N45" t="str">
        <x:v>SEM_ICMS</x:v>
      </x:c>
    </x:row>
    <x:row r="46">
      <x:c r="A46" s="12" t="str">
        <x:v>RO</x:v>
      </x:c>
      <x:c r="B46" s="12" t="str">
        <x:v>RODOTEC RO INTERIOR</x:v>
      </x:c>
      <x:c r="C46" s="12" t="str">
        <x:v>Pimenteiras do Oeste</x:v>
      </x:c>
      <x:c r="D46" s="12" t="str">
        <x:v>Guarulhos</x:v>
      </x:c>
      <x:c r="E46" s="12" t="str">
        <x:v>SP</x:v>
      </x:c>
      <x:c r="F46" s="12" t="str">
        <x:v>30%</x:v>
      </x:c>
      <x:c r="G46" s="12" t="n">
        <x:v>100</x:v>
      </x:c>
      <x:c r="H46" s="12" t="n">
        <x:v>720</x:v>
      </x:c>
      <x:c r="I46" s="12" t="str">
        <x:v>ROTA RODOVIARIO</x:v>
      </x:c>
      <x:c r="J46" s="12" t="str">
        <x:v>rodotec.pdf</x:v>
      </x:c>
      <x:c r="K46" t="str">
        <x:v>1</x:v>
      </x:c>
      <x:c r="L46" t="str">
        <x:v>REVISAR_OK</x:v>
      </x:c>
      <x:c r="M46" t="str"/>
      <x:c r="N46" t="str">
        <x:v>SEM_ICMS</x:v>
      </x:c>
    </x:row>
    <x:row r="47">
      <x:c r="A47" s="12" t="str">
        <x:v>RO</x:v>
      </x:c>
      <x:c r="B47" s="12" t="str">
        <x:v>RODOTEC RO INTERIOR</x:v>
      </x:c>
      <x:c r="C47" s="12" t="str">
        <x:v>Primavera de Rondônia</x:v>
      </x:c>
      <x:c r="D47" s="12" t="str">
        <x:v>Guarulhos</x:v>
      </x:c>
      <x:c r="E47" s="12" t="str">
        <x:v>SP</x:v>
      </x:c>
      <x:c r="F47" s="12" t="str">
        <x:v>30%</x:v>
      </x:c>
      <x:c r="G47" s="12" t="n">
        <x:v>100</x:v>
      </x:c>
      <x:c r="H47" s="12" t="n">
        <x:v>720</x:v>
      </x:c>
      <x:c r="I47" s="12" t="str">
        <x:v>ROTA RODOVIARIO</x:v>
      </x:c>
      <x:c r="J47" s="12" t="str">
        <x:v>rodotec.pdf</x:v>
      </x:c>
      <x:c r="K47" t="str">
        <x:v>1</x:v>
      </x:c>
      <x:c r="L47" t="str">
        <x:v>REVISAR_OK</x:v>
      </x:c>
      <x:c r="M47" t="str"/>
      <x:c r="N47" t="str">
        <x:v>SEM_ICMS</x:v>
      </x:c>
    </x:row>
    <x:row r="48">
      <x:c r="A48" s="12" t="str">
        <x:v>RO</x:v>
      </x:c>
      <x:c r="B48" s="12" t="str">
        <x:v>RODOTEC RO INTERIOR</x:v>
      </x:c>
      <x:c r="C48" s="12" t="str">
        <x:v>Rio Crespo</x:v>
      </x:c>
      <x:c r="D48" s="12" t="str">
        <x:v>Guarulhos</x:v>
      </x:c>
      <x:c r="E48" s="12" t="str">
        <x:v>SP</x:v>
      </x:c>
      <x:c r="F48" s="12" t="str">
        <x:v>30%</x:v>
      </x:c>
      <x:c r="G48" s="12" t="n">
        <x:v>100</x:v>
      </x:c>
      <x:c r="H48" s="12" t="n">
        <x:v>720</x:v>
      </x:c>
      <x:c r="I48" s="12" t="str">
        <x:v>ROTA RODOVIARIO</x:v>
      </x:c>
      <x:c r="J48" s="12" t="str">
        <x:v>rodotec.pdf</x:v>
      </x:c>
      <x:c r="K48" t="str">
        <x:v>1</x:v>
      </x:c>
      <x:c r="L48" t="str">
        <x:v>REVISAR_OK</x:v>
      </x:c>
      <x:c r="M48" t="str"/>
      <x:c r="N48" t="str">
        <x:v>SEM_ICMS</x:v>
      </x:c>
    </x:row>
    <x:row r="49">
      <x:c r="A49" s="12" t="str">
        <x:v>RO</x:v>
      </x:c>
      <x:c r="B49" s="12" t="str">
        <x:v>RODOTEC RO INTERIOR</x:v>
      </x:c>
      <x:c r="C49" s="12" t="str">
        <x:v>Rolim de Moura</x:v>
      </x:c>
      <x:c r="D49" s="12" t="str">
        <x:v>Guarulhos</x:v>
      </x:c>
      <x:c r="E49" s="12" t="str">
        <x:v>SP</x:v>
      </x:c>
      <x:c r="F49" s="12" t="str">
        <x:v>30%</x:v>
      </x:c>
      <x:c r="G49" s="12" t="n">
        <x:v>100</x:v>
      </x:c>
      <x:c r="H49" s="12" t="n">
        <x:v>720</x:v>
      </x:c>
      <x:c r="I49" s="12" t="str">
        <x:v>ROTA RODOVIARIO</x:v>
      </x:c>
      <x:c r="J49" s="12" t="str">
        <x:v>rodotec.pdf</x:v>
      </x:c>
      <x:c r="K49" t="str">
        <x:v>1</x:v>
      </x:c>
      <x:c r="L49" t="str">
        <x:v>REVISAR_OK</x:v>
      </x:c>
      <x:c r="M49" t="str"/>
      <x:c r="N49" t="str">
        <x:v>SEM_ICMS</x:v>
      </x:c>
    </x:row>
    <x:row r="50">
      <x:c r="A50" s="12" t="str">
        <x:v>RO</x:v>
      </x:c>
      <x:c r="B50" s="12" t="str">
        <x:v>RODOTEC RO INTERIOR</x:v>
      </x:c>
      <x:c r="C50" s="12" t="str">
        <x:v>Santa Luzia d'Oeste</x:v>
      </x:c>
      <x:c r="D50" s="12" t="str">
        <x:v>Guarulhos</x:v>
      </x:c>
      <x:c r="E50" s="12" t="str">
        <x:v>SP</x:v>
      </x:c>
      <x:c r="F50" s="12" t="str">
        <x:v>30%</x:v>
      </x:c>
      <x:c r="G50" s="12" t="n">
        <x:v>100</x:v>
      </x:c>
      <x:c r="H50" s="12" t="n">
        <x:v>720</x:v>
      </x:c>
      <x:c r="I50" s="12" t="str">
        <x:v>ROTA RODOVIARIO</x:v>
      </x:c>
      <x:c r="J50" s="12" t="str">
        <x:v>rodotec.pdf</x:v>
      </x:c>
      <x:c r="K50" t="str">
        <x:v>1</x:v>
      </x:c>
      <x:c r="L50" t="str">
        <x:v>REVISAR_OK</x:v>
      </x:c>
      <x:c r="M50" t="str"/>
      <x:c r="N50" t="str">
        <x:v>SEM_ICMS</x:v>
      </x:c>
    </x:row>
    <x:row r="51">
      <x:c r="A51" s="12" t="str">
        <x:v>RO</x:v>
      </x:c>
      <x:c r="B51" s="12" t="str">
        <x:v>RODOTEC RO INTERIOR</x:v>
      </x:c>
      <x:c r="C51" s="12" t="str">
        <x:v>São Felipe d'Oeste</x:v>
      </x:c>
      <x:c r="D51" s="12" t="str">
        <x:v>Guarulhos</x:v>
      </x:c>
      <x:c r="E51" s="12" t="str">
        <x:v>SP</x:v>
      </x:c>
      <x:c r="F51" s="12" t="str">
        <x:v>30%</x:v>
      </x:c>
      <x:c r="G51" s="12" t="n">
        <x:v>100</x:v>
      </x:c>
      <x:c r="H51" s="12" t="n">
        <x:v>720</x:v>
      </x:c>
      <x:c r="I51" s="12" t="str">
        <x:v>ROTA RODOVIARIO</x:v>
      </x:c>
      <x:c r="J51" s="12" t="str">
        <x:v>rodotec.pdf</x:v>
      </x:c>
      <x:c r="K51" t="str">
        <x:v>1</x:v>
      </x:c>
      <x:c r="L51" t="str">
        <x:v>REVISAR_OK</x:v>
      </x:c>
      <x:c r="M51" t="str"/>
      <x:c r="N51" t="str">
        <x:v>SEM_ICMS</x:v>
      </x:c>
    </x:row>
    <x:row r="52">
      <x:c r="A52" s="12" t="str">
        <x:v>RO</x:v>
      </x:c>
      <x:c r="B52" s="12" t="str">
        <x:v>RODOTEC RO INTERIOR</x:v>
      </x:c>
      <x:c r="C52" s="12" t="str">
        <x:v>São Francisco do Guaporé</x:v>
      </x:c>
      <x:c r="D52" s="12" t="str">
        <x:v>Guarulhos</x:v>
      </x:c>
      <x:c r="E52" s="12" t="str">
        <x:v>SP</x:v>
      </x:c>
      <x:c r="F52" s="12" t="str">
        <x:v>30%</x:v>
      </x:c>
      <x:c r="G52" s="12" t="n">
        <x:v>100</x:v>
      </x:c>
      <x:c r="H52" s="12" t="n">
        <x:v>720</x:v>
      </x:c>
      <x:c r="I52" s="12" t="str">
        <x:v>ROTA RODOVIARIO</x:v>
      </x:c>
      <x:c r="J52" s="12" t="str">
        <x:v>rodotec.pdf</x:v>
      </x:c>
      <x:c r="K52" t="str">
        <x:v>1</x:v>
      </x:c>
      <x:c r="L52" t="str">
        <x:v>REVISAR_OK</x:v>
      </x:c>
      <x:c r="M52" t="str"/>
      <x:c r="N52" t="str">
        <x:v>SEM_ICMS</x:v>
      </x:c>
    </x:row>
    <x:row r="53">
      <x:c r="A53" s="12" t="str">
        <x:v>RO</x:v>
      </x:c>
      <x:c r="B53" s="12" t="str">
        <x:v>RODOTEC RO INTERIOR</x:v>
      </x:c>
      <x:c r="C53" s="12" t="str">
        <x:v>São Miguel do Guaporé</x:v>
      </x:c>
      <x:c r="D53" s="12" t="str">
        <x:v>Guarulhos</x:v>
      </x:c>
      <x:c r="E53" s="12" t="str">
        <x:v>SP</x:v>
      </x:c>
      <x:c r="F53" s="12" t="str">
        <x:v>30%</x:v>
      </x:c>
      <x:c r="G53" s="12" t="n">
        <x:v>100</x:v>
      </x:c>
      <x:c r="H53" s="12" t="n">
        <x:v>720</x:v>
      </x:c>
      <x:c r="I53" s="12" t="str">
        <x:v>ROTA RODOVIARIO</x:v>
      </x:c>
      <x:c r="J53" s="12" t="str">
        <x:v>rodotec.pdf</x:v>
      </x:c>
      <x:c r="K53" t="str">
        <x:v>1</x:v>
      </x:c>
      <x:c r="L53" t="str">
        <x:v>REVISAR_OK</x:v>
      </x:c>
      <x:c r="M53" t="str"/>
      <x:c r="N53" t="str">
        <x:v>SEM_ICMS</x:v>
      </x:c>
    </x:row>
    <x:row r="54">
      <x:c r="A54" s="12" t="str">
        <x:v>RO</x:v>
      </x:c>
      <x:c r="B54" s="12" t="str">
        <x:v>RODOTEC RO INTERIOR</x:v>
      </x:c>
      <x:c r="C54" s="12" t="str">
        <x:v>Seringueiras</x:v>
      </x:c>
      <x:c r="D54" s="12" t="str">
        <x:v>Guarulhos</x:v>
      </x:c>
      <x:c r="E54" s="12" t="str">
        <x:v>SP</x:v>
      </x:c>
      <x:c r="F54" s="12" t="str">
        <x:v>30%</x:v>
      </x:c>
      <x:c r="G54" s="12" t="n">
        <x:v>100</x:v>
      </x:c>
      <x:c r="H54" s="12" t="n">
        <x:v>720</x:v>
      </x:c>
      <x:c r="I54" s="12" t="str">
        <x:v>ROTA RODOVIARIO</x:v>
      </x:c>
      <x:c r="J54" s="12" t="str">
        <x:v>rodotec.pdf</x:v>
      </x:c>
      <x:c r="K54" t="str">
        <x:v>1</x:v>
      </x:c>
      <x:c r="L54" t="str">
        <x:v>REVISAR_OK</x:v>
      </x:c>
      <x:c r="M54" t="str"/>
      <x:c r="N54" t="str">
        <x:v>SEM_ICMS</x:v>
      </x:c>
    </x:row>
    <x:row r="55">
      <x:c r="A55" s="12" t="str">
        <x:v>RO</x:v>
      </x:c>
      <x:c r="B55" s="12" t="str">
        <x:v>RODOTEC RO INTERIOR</x:v>
      </x:c>
      <x:c r="C55" s="12" t="str">
        <x:v>Tarilândia</x:v>
      </x:c>
      <x:c r="D55" s="12" t="str">
        <x:v>Guarulhos</x:v>
      </x:c>
      <x:c r="E55" s="12" t="str">
        <x:v>SP</x:v>
      </x:c>
      <x:c r="F55" s="12" t="str">
        <x:v>30%</x:v>
      </x:c>
      <x:c r="G55" s="12" t="n">
        <x:v>100</x:v>
      </x:c>
      <x:c r="H55" s="12" t="n">
        <x:v>720</x:v>
      </x:c>
      <x:c r="I55" s="12" t="str">
        <x:v>ROTA RODOVIARIO</x:v>
      </x:c>
      <x:c r="J55" s="12" t="str">
        <x:v>rodotec.pdf</x:v>
      </x:c>
      <x:c r="K55" t="str">
        <x:v>1</x:v>
      </x:c>
      <x:c r="L55" t="str">
        <x:v>REVISAR_OK</x:v>
      </x:c>
      <x:c r="M55" t="str"/>
      <x:c r="N55" t="str">
        <x:v>SEM_ICMS</x:v>
      </x:c>
    </x:row>
    <x:row r="56">
      <x:c r="A56" s="12" t="str">
        <x:v>RO</x:v>
      </x:c>
      <x:c r="B56" s="12" t="str">
        <x:v>RODOTEC RO INTERIOR</x:v>
      </x:c>
      <x:c r="C56" s="12" t="str">
        <x:v>Teixeirópolis</x:v>
      </x:c>
      <x:c r="D56" s="12" t="str">
        <x:v>Guarulhos</x:v>
      </x:c>
      <x:c r="E56" s="12" t="str">
        <x:v>SP</x:v>
      </x:c>
      <x:c r="F56" s="12" t="str">
        <x:v>30%</x:v>
      </x:c>
      <x:c r="G56" s="12" t="n">
        <x:v>100</x:v>
      </x:c>
      <x:c r="H56" s="12" t="n">
        <x:v>720</x:v>
      </x:c>
      <x:c r="I56" s="12" t="str">
        <x:v>ROTA RODOVIARIO</x:v>
      </x:c>
      <x:c r="J56" s="12" t="str">
        <x:v>rodotec.pdf</x:v>
      </x:c>
      <x:c r="K56" t="str">
        <x:v>1</x:v>
      </x:c>
      <x:c r="L56" t="str">
        <x:v>REVISAR_OK</x:v>
      </x:c>
      <x:c r="M56" t="str"/>
      <x:c r="N56" t="str">
        <x:v>SEM_ICMS</x:v>
      </x:c>
    </x:row>
    <x:row r="57">
      <x:c r="A57" s="12" t="str">
        <x:v>RO</x:v>
      </x:c>
      <x:c r="B57" s="12" t="str">
        <x:v>RODOTEC RO INTERIOR</x:v>
      </x:c>
      <x:c r="C57" s="12" t="str">
        <x:v>Theobroma</x:v>
      </x:c>
      <x:c r="D57" s="12" t="str">
        <x:v>Guarulhos</x:v>
      </x:c>
      <x:c r="E57" s="12" t="str">
        <x:v>SP</x:v>
      </x:c>
      <x:c r="F57" s="12" t="str">
        <x:v>30%</x:v>
      </x:c>
      <x:c r="G57" s="12" t="n">
        <x:v>100</x:v>
      </x:c>
      <x:c r="H57" s="12" t="n">
        <x:v>720</x:v>
      </x:c>
      <x:c r="I57" s="12" t="str">
        <x:v>ROTA RODOVIARIO</x:v>
      </x:c>
      <x:c r="J57" s="12" t="str">
        <x:v>rodotec.pdf</x:v>
      </x:c>
      <x:c r="K57" t="str">
        <x:v>1</x:v>
      </x:c>
      <x:c r="L57" t="str">
        <x:v>REVISAR_OK</x:v>
      </x:c>
      <x:c r="M57" t="str"/>
      <x:c r="N57" t="str">
        <x:v>SEM_ICMS</x:v>
      </x:c>
    </x:row>
    <x:row r="58">
      <x:c r="A58" s="12" t="str">
        <x:v>RO</x:v>
      </x:c>
      <x:c r="B58" s="12" t="str">
        <x:v>RODOTEC RO INTERIOR</x:v>
      </x:c>
      <x:c r="C58" s="12" t="str">
        <x:v>Triunfo</x:v>
      </x:c>
      <x:c r="D58" s="12" t="str">
        <x:v>Guarulhos</x:v>
      </x:c>
      <x:c r="E58" s="12" t="str">
        <x:v>SP</x:v>
      </x:c>
      <x:c r="F58" s="12" t="str">
        <x:v>30%</x:v>
      </x:c>
      <x:c r="G58" s="12" t="n">
        <x:v>100</x:v>
      </x:c>
      <x:c r="H58" s="12" t="n">
        <x:v>720</x:v>
      </x:c>
      <x:c r="I58" s="12" t="str">
        <x:v>ROTA RODOVIARIO</x:v>
      </x:c>
      <x:c r="J58" s="12" t="str">
        <x:v>rodotec.pdf</x:v>
      </x:c>
      <x:c r="K58" t="str">
        <x:v>1</x:v>
      </x:c>
      <x:c r="L58" t="str">
        <x:v>REVISAR_OK</x:v>
      </x:c>
      <x:c r="M58" t="str"/>
      <x:c r="N58" t="str">
        <x:v>SEM_ICMS</x:v>
      </x:c>
    </x:row>
    <x:row r="59">
      <x:c r="A59" s="12" t="str">
        <x:v>RO</x:v>
      </x:c>
      <x:c r="B59" s="12" t="str">
        <x:v>RODOTEC RO INTERIOR</x:v>
      </x:c>
      <x:c r="C59" s="12" t="str">
        <x:v>União Bandeirante</x:v>
      </x:c>
      <x:c r="D59" s="12" t="str">
        <x:v>Guarulhos</x:v>
      </x:c>
      <x:c r="E59" s="12" t="str">
        <x:v>SP</x:v>
      </x:c>
      <x:c r="F59" s="12" t="str">
        <x:v>30%</x:v>
      </x:c>
      <x:c r="G59" s="12" t="n">
        <x:v>100</x:v>
      </x:c>
      <x:c r="H59" s="12" t="n">
        <x:v>720</x:v>
      </x:c>
      <x:c r="I59" s="12" t="str">
        <x:v>ROTA RODOVIARIO</x:v>
      </x:c>
      <x:c r="J59" s="12" t="str">
        <x:v>rodotec.pdf</x:v>
      </x:c>
      <x:c r="K59" t="str">
        <x:v>1</x:v>
      </x:c>
      <x:c r="L59" t="str">
        <x:v>REVISAR_OK</x:v>
      </x:c>
      <x:c r="M59" t="str"/>
      <x:c r="N59" t="str">
        <x:v>SEM_ICMS</x:v>
      </x:c>
    </x:row>
    <x:row r="60">
      <x:c r="A60" s="12" t="str">
        <x:v>RO</x:v>
      </x:c>
      <x:c r="B60" s="12" t="str">
        <x:v>RODOTEC RO INTERIOR</x:v>
      </x:c>
      <x:c r="C60" s="12" t="str">
        <x:v>Urupá</x:v>
      </x:c>
      <x:c r="D60" s="12" t="str">
        <x:v>Guarulhos</x:v>
      </x:c>
      <x:c r="E60" s="12" t="str">
        <x:v>SP</x:v>
      </x:c>
      <x:c r="F60" s="12" t="str">
        <x:v>30%</x:v>
      </x:c>
      <x:c r="G60" s="12" t="n">
        <x:v>100</x:v>
      </x:c>
      <x:c r="H60" s="12" t="n">
        <x:v>720</x:v>
      </x:c>
      <x:c r="I60" s="12" t="str">
        <x:v>ROTA RODOVIARIO</x:v>
      </x:c>
      <x:c r="J60" s="12" t="str">
        <x:v>rodotec.pdf</x:v>
      </x:c>
      <x:c r="K60" t="str">
        <x:v>1</x:v>
      </x:c>
      <x:c r="L60" t="str">
        <x:v>REVISAR_OK</x:v>
      </x:c>
      <x:c r="M60" t="str"/>
      <x:c r="N60" t="str">
        <x:v>SEM_ICMS</x:v>
      </x:c>
    </x:row>
    <x:row r="61">
      <x:c r="A61" s="12" t="str">
        <x:v>RO</x:v>
      </x:c>
      <x:c r="B61" s="12" t="str">
        <x:v>RODOTEC RO INTERIOR</x:v>
      </x:c>
      <x:c r="C61" s="12" t="str">
        <x:v>Vale do Anari</x:v>
      </x:c>
      <x:c r="D61" s="12" t="str">
        <x:v>Guarulhos</x:v>
      </x:c>
      <x:c r="E61" s="12" t="str">
        <x:v>SP</x:v>
      </x:c>
      <x:c r="F61" s="12" t="str">
        <x:v>30%</x:v>
      </x:c>
      <x:c r="G61" s="12" t="n">
        <x:v>100</x:v>
      </x:c>
      <x:c r="H61" s="12" t="n">
        <x:v>720</x:v>
      </x:c>
      <x:c r="I61" s="12" t="str">
        <x:v>ROTA RODOVIARIO</x:v>
      </x:c>
      <x:c r="J61" s="12" t="str">
        <x:v>rodotec.pdf</x:v>
      </x:c>
      <x:c r="K61" t="str">
        <x:v>2</x:v>
      </x:c>
      <x:c r="L61" t="str">
        <x:v>REVISAR_OK</x:v>
      </x:c>
      <x:c r="M61" t="str"/>
      <x:c r="N61" t="str">
        <x:v>SEM_ICMS</x:v>
      </x:c>
    </x:row>
    <x:row r="62">
      <x:c r="A62" s="12" t="str">
        <x:v>RO</x:v>
      </x:c>
      <x:c r="B62" s="12" t="str">
        <x:v>RODOTEC RO INTERIOR</x:v>
      </x:c>
      <x:c r="C62" s="12" t="str">
        <x:v>Vale do Paraíso</x:v>
      </x:c>
      <x:c r="D62" s="12" t="str">
        <x:v>Guarulhos</x:v>
      </x:c>
      <x:c r="E62" s="12" t="str">
        <x:v>SP</x:v>
      </x:c>
      <x:c r="F62" s="12" t="str">
        <x:v>30%</x:v>
      </x:c>
      <x:c r="G62" s="12" t="n">
        <x:v>100</x:v>
      </x:c>
      <x:c r="H62" s="12" t="n">
        <x:v>720</x:v>
      </x:c>
      <x:c r="I62" s="12" t="str">
        <x:v>ROTA RODOVIARIO</x:v>
      </x:c>
      <x:c r="J62" s="12" t="str">
        <x:v>rodotec.pdf</x:v>
      </x:c>
      <x:c r="K62" t="str">
        <x:v>2</x:v>
      </x:c>
      <x:c r="L62" t="str">
        <x:v>REVISAR_OK</x:v>
      </x:c>
      <x:c r="M62" t="str"/>
      <x:c r="N62" t="str">
        <x:v>SEM_ICMS</x:v>
      </x:c>
    </x:row>
    <x:row r="63">
      <x:c r="A63" s="12" t="str">
        <x:v>RO</x:v>
      </x:c>
      <x:c r="B63" s="12" t="str">
        <x:v>RODOTEC RO INTERIOR</x:v>
      </x:c>
      <x:c r="C63" s="12" t="str">
        <x:v>Vista Alegre do Abunã</x:v>
      </x:c>
      <x:c r="D63" s="12" t="str">
        <x:v>Guarulhos</x:v>
      </x:c>
      <x:c r="E63" s="12" t="str">
        <x:v>SP</x:v>
      </x:c>
      <x:c r="F63" s="12" t="str">
        <x:v>30%</x:v>
      </x:c>
      <x:c r="G63" s="12" t="n">
        <x:v>100</x:v>
      </x:c>
      <x:c r="H63" s="12" t="n">
        <x:v>730</x:v>
      </x:c>
      <x:c r="I63" s="12" t="str">
        <x:v>ROTA RODOVIARIO</x:v>
      </x:c>
      <x:c r="J63" s="12" t="str">
        <x:v>rodotec.pdf</x:v>
      </x:c>
      <x:c r="K63" t="str">
        <x:v>2</x:v>
      </x:c>
      <x:c r="L63" t="str">
        <x:v>REVISAR_OK</x:v>
      </x:c>
      <x:c r="M63" t="str"/>
      <x:c r="N63" t="str">
        <x:v>SEM_ICMS</x:v>
      </x:c>
    </x:row>
    <x:row r="64">
      <x:c r="A64" s="12" t="str">
        <x:v>MT</x:v>
      </x:c>
      <x:c r="B64" s="12" t="str">
        <x:v>RODOTEC MT INTERIOR</x:v>
      </x:c>
      <x:c r="C64" s="12" t="str">
        <x:v>Rondolândia</x:v>
      </x:c>
      <x:c r="D64" s="12" t="str">
        <x:v>Guarulhos</x:v>
      </x:c>
      <x:c r="E64" s="12" t="str">
        <x:v>SP</x:v>
      </x:c>
      <x:c r="F64" s="12" t="str">
        <x:v>30%</x:v>
      </x:c>
      <x:c r="G64" s="12" t="n">
        <x:v>100</x:v>
      </x:c>
      <x:c r="H64" s="12" t="n">
        <x:v>980</x:v>
      </x:c>
      <x:c r="I64" s="12" t="str">
        <x:v>ROTA RODOVIARIO</x:v>
      </x:c>
      <x:c r="J64" s="12" t="str">
        <x:v>rodotec.pdf</x:v>
      </x:c>
      <x:c r="K64" t="str">
        <x:v>2</x:v>
      </x:c>
      <x:c r="L64" t="str">
        <x:v>REVISAR_OK</x:v>
      </x:c>
      <x:c r="M64" t="str"/>
      <x:c r="N64" t="str">
        <x:v>SEM_ICMS</x:v>
      </x:c>
    </x:row>
    <x:row r="65">
      <x:c r="A65" s="12" t="str">
        <x:v>AM</x:v>
      </x:c>
      <x:c r="B65" s="12" t="str">
        <x:v>RODOTEC AM INTERIOR</x:v>
      </x:c>
      <x:c r="C65" s="12" t="str">
        <x:v>Humaitá</x:v>
      </x:c>
      <x:c r="D65" s="12" t="str">
        <x:v>Guarulhos</x:v>
      </x:c>
      <x:c r="E65" s="12" t="str">
        <x:v>SP</x:v>
      </x:c>
      <x:c r="F65" s="12" t="str">
        <x:v>30%</x:v>
      </x:c>
      <x:c r="G65" s="12" t="n">
        <x:v>100</x:v>
      </x:c>
      <x:c r="H65" s="12" t="n">
        <x:v>980</x:v>
      </x:c>
      <x:c r="I65" s="12" t="str">
        <x:v>ROTA RODOVIARIO</x:v>
      </x:c>
      <x:c r="J65" s="12" t="str">
        <x:v>rodotec.pdf</x:v>
      </x:c>
      <x:c r="K65" t="str">
        <x:v>2</x:v>
      </x:c>
      <x:c r="L65" t="str">
        <x:v>REVISAR_OK</x:v>
      </x:c>
      <x:c r="M65" t="str">
        <x:v>PDF: Humaitá (Amazonas).</x:v>
      </x:c>
      <x:c r="N65" t="str">
        <x:v>SEM_ICMS</x:v>
      </x:c>
    </x:row>
    <x:row r="66">
      <x:c r="A66" s="12" t="str">
        <x:v>AM</x:v>
      </x:c>
      <x:c r="B66" s="12" t="str">
        <x:v>RODOTEC AM INTERIOR</x:v>
      </x:c>
      <x:c r="C66" s="12" t="str">
        <x:v>Lábrea</x:v>
      </x:c>
      <x:c r="D66" s="12" t="str">
        <x:v>Guarulhos</x:v>
      </x:c>
      <x:c r="E66" s="12" t="str">
        <x:v>SP</x:v>
      </x:c>
      <x:c r="F66" s="12" t="str">
        <x:v>30%</x:v>
      </x:c>
      <x:c r="G66" s="12" t="n">
        <x:v>100</x:v>
      </x:c>
      <x:c r="H66" s="12" t="n">
        <x:v>980</x:v>
      </x:c>
      <x:c r="I66" s="12" t="str">
        <x:v>ROTA RODO/FLUVIAL</x:v>
      </x:c>
      <x:c r="J66" s="12" t="str">
        <x:v>rodotec.pdf</x:v>
      </x:c>
      <x:c r="K66" t="str">
        <x:v>2</x:v>
      </x:c>
      <x:c r="L66" t="str">
        <x:v>REVISAR_OK</x:v>
      </x:c>
      <x:c r="M66" t="str">
        <x:v>PDF: Lábrea-Am.</x:v>
      </x:c>
      <x:c r="N66" t="str">
        <x:v>SEM_ICMS</x:v>
      </x:c>
    </x:row>
    <x:row r="67">
      <x:c r="A67" s="12" t="str">
        <x:v>AM</x:v>
      </x:c>
      <x:c r="B67" s="12" t="str">
        <x:v>RODOTEC AM INTERIOR</x:v>
      </x:c>
      <x:c r="C67" s="12" t="str">
        <x:v>Canutama</x:v>
      </x:c>
      <x:c r="D67" s="12" t="str">
        <x:v>Guarulhos</x:v>
      </x:c>
      <x:c r="E67" s="12" t="str">
        <x:v>SP</x:v>
      </x:c>
      <x:c r="F67" s="12" t="str">
        <x:v>35%</x:v>
      </x:c>
      <x:c r="G67" s="12" t="n">
        <x:v>100</x:v>
      </x:c>
      <x:c r="H67" s="12" t="n">
        <x:v>980</x:v>
      </x:c>
      <x:c r="I67" s="12" t="str">
        <x:v>ROTA RODOVIARIO</x:v>
      </x:c>
      <x:c r="J67" s="12" t="str">
        <x:v>rodotec.pdf</x:v>
      </x:c>
      <x:c r="K67" t="str">
        <x:v>2</x:v>
      </x:c>
      <x:c r="L67" t="str">
        <x:v>REVISAR_OK</x:v>
      </x:c>
      <x:c r="M67" t="str">
        <x:v>PDF: Canutama-Am.</x:v>
      </x:c>
      <x:c r="N67" t="str">
        <x:v>SEM_ICMS</x:v>
      </x:c>
    </x:row>
    <x:row r="68">
      <x:c r="A68" s="12" t="str">
        <x:v>AM</x:v>
      </x:c>
      <x:c r="B68" s="12" t="str">
        <x:v>RODOTEC AM INTERIOR</x:v>
      </x:c>
      <x:c r="C68" s="12" t="str">
        <x:v>Apuí</x:v>
      </x:c>
      <x:c r="D68" s="12" t="str">
        <x:v>Guarulhos</x:v>
      </x:c>
      <x:c r="E68" s="12" t="str">
        <x:v>SP</x:v>
      </x:c>
      <x:c r="F68" s="12" t="str">
        <x:v>35%</x:v>
      </x:c>
      <x:c r="G68" s="12" t="n">
        <x:v>100</x:v>
      </x:c>
      <x:c r="H68" s="12" t="n">
        <x:v>980</x:v>
      </x:c>
      <x:c r="I68" s="12" t="str">
        <x:v>ROTA RODOVIARIO</x:v>
      </x:c>
      <x:c r="J68" s="12" t="str">
        <x:v>rodotec.pdf</x:v>
      </x:c>
      <x:c r="K68" t="str">
        <x:v>2</x:v>
      </x:c>
      <x:c r="L68" t="str">
        <x:v>REVISAR_OK</x:v>
      </x:c>
      <x:c r="M68" t="str">
        <x:v>PDF: Apuí-Am.</x:v>
      </x:c>
      <x:c r="N68" t="str">
        <x:v>SEM_ICMS</x:v>
      </x:c>
    </x:row>
    <x:row r="69">
      <x:c r="A69" s="12" t="str">
        <x:v>AM</x:v>
      </x:c>
      <x:c r="B69" s="12" t="str">
        <x:v>RODOTEC AM INTERIOR</x:v>
      </x:c>
      <x:c r="C69" s="12" t="str">
        <x:v>Santo Antônio do Matupi</x:v>
      </x:c>
      <x:c r="D69" s="12" t="str">
        <x:v>Guarulhos</x:v>
      </x:c>
      <x:c r="E69" s="12" t="str">
        <x:v>SP</x:v>
      </x:c>
      <x:c r="F69" s="12" t="str">
        <x:v>35%</x:v>
      </x:c>
      <x:c r="G69" s="12" t="n">
        <x:v>100</x:v>
      </x:c>
      <x:c r="H69" s="12" t="n">
        <x:v>980</x:v>
      </x:c>
      <x:c r="I69" s="12" t="str">
        <x:v>ROTA RODO/FLUVIAL</x:v>
      </x:c>
      <x:c r="J69" s="12" t="str">
        <x:v>rodotec.pdf</x:v>
      </x:c>
      <x:c r="K69" t="str">
        <x:v>2</x:v>
      </x:c>
      <x:c r="L69" t="str">
        <x:v>REVISAR_OK</x:v>
      </x:c>
      <x:c r="M69" t="str">
        <x:v>PDF: Santo Antonio Do Matupi-Am.</x:v>
      </x:c>
      <x:c r="N69" t="str">
        <x:v>SEM_ICMS</x:v>
      </x:c>
    </x:row>
    <x:row r="70">
      <x:c r="A70" s="12" t="str">
        <x:v>AM</x:v>
      </x:c>
      <x:c r="B70" s="12" t="str">
        <x:v>RODOTEC AM INTERIOR</x:v>
      </x:c>
      <x:c r="C70" s="12" t="str">
        <x:v>Manicoré</x:v>
      </x:c>
      <x:c r="D70" s="12" t="str">
        <x:v>Guarulhos</x:v>
      </x:c>
      <x:c r="E70" s="12" t="str">
        <x:v>SP</x:v>
      </x:c>
      <x:c r="F70" s="12" t="str">
        <x:v>30%</x:v>
      </x:c>
      <x:c r="G70" s="12" t="n">
        <x:v>100</x:v>
      </x:c>
      <x:c r="H70" s="12" t="n">
        <x:v>980</x:v>
      </x:c>
      <x:c r="I70" s="12" t="str">
        <x:v>ROTA RODO/FLUVIAL</x:v>
      </x:c>
      <x:c r="J70" s="12" t="str">
        <x:v>rodotec.pdf</x:v>
      </x:c>
      <x:c r="K70" t="str">
        <x:v>2</x:v>
      </x:c>
      <x:c r="L70" t="str">
        <x:v>REVISAR_OK</x:v>
      </x:c>
      <x:c r="M70" t="str">
        <x:v>PDF: Manicore-Am.</x:v>
      </x:c>
      <x:c r="N70" t="str">
        <x:v>SEM_ICMS</x:v>
      </x:c>
    </x:row>
    <x:row r="71">
      <x:c r="A71" s="12" t="str">
        <x:v>AM</x:v>
      </x:c>
      <x:c r="B71" s="12" t="str">
        <x:v>RODOTEC AM INTERIOR</x:v>
      </x:c>
      <x:c r="C71" s="12" t="str">
        <x:v>Boca do Acre</x:v>
      </x:c>
      <x:c r="D71" s="12" t="str">
        <x:v>Guarulhos</x:v>
      </x:c>
      <x:c r="E71" s="12" t="str">
        <x:v>SP</x:v>
      </x:c>
      <x:c r="F71" s="12" t="str">
        <x:v>35%</x:v>
      </x:c>
      <x:c r="G71" s="12" t="n">
        <x:v>100</x:v>
      </x:c>
      <x:c r="H71" s="12" t="n">
        <x:v>1240</x:v>
      </x:c>
      <x:c r="I71" s="12" t="str">
        <x:v>ROTA RODOVIARIO</x:v>
      </x:c>
      <x:c r="J71" s="12" t="str">
        <x:v>rodotec.pdf</x:v>
      </x:c>
      <x:c r="K71" t="str">
        <x:v>2</x:v>
      </x:c>
      <x:c r="L71" t="str">
        <x:v>REVISAR_OK</x:v>
      </x:c>
      <x:c r="M71" t="str">
        <x:v>PDF: Boca Do Acre-Am.</x:v>
      </x:c>
      <x:c r="N71" t="str">
        <x:v>SEM_ICMS</x:v>
      </x:c>
    </x:row>
    <x:row r="72">
      <x:c r="A72" s="12" t="str">
        <x:v>AC</x:v>
      </x:c>
      <x:c r="B72" s="12" t="str">
        <x:v>RODOTEC AC CAPITAL PL</x:v>
      </x:c>
      <x:c r="C72" s="12" t="str">
        <x:v>Rio Branco</x:v>
      </x:c>
      <x:c r="D72" s="12" t="str">
        <x:v>Guarulhos</x:v>
      </x:c>
      <x:c r="E72" s="12" t="str">
        <x:v>SP</x:v>
      </x:c>
      <x:c r="F72" s="12" t="str">
        <x:v>30%</x:v>
      </x:c>
      <x:c r="G72" s="12" t="n">
        <x:v>100</x:v>
      </x:c>
      <x:c r="H72" s="12" t="n">
        <x:v>850</x:v>
      </x:c>
      <x:c r="I72" s="12" t="str">
        <x:v>ROTA RODOVIARIO</x:v>
      </x:c>
      <x:c r="J72" s="12" t="str">
        <x:v>rodotec.pdf</x:v>
      </x:c>
      <x:c r="K72" t="str">
        <x:v>2</x:v>
      </x:c>
      <x:c r="L72" t="str">
        <x:v>REVISAR_OK</x:v>
      </x:c>
      <x:c r="M72" t="str"/>
      <x:c r="N72" t="str">
        <x:v>SEM_ICMS</x:v>
      </x:c>
    </x:row>
    <x:row r="73">
      <x:c r="A73" s="12" t="str">
        <x:v>AC</x:v>
      </x:c>
      <x:c r="B73" s="12" t="str">
        <x:v>RODOTEC AC INTERIOR A</x:v>
      </x:c>
      <x:c r="C73" s="12" t="str">
        <x:v>Plácido de Castro</x:v>
      </x:c>
      <x:c r="D73" s="12" t="str">
        <x:v>Guarulhos</x:v>
      </x:c>
      <x:c r="E73" s="12" t="str">
        <x:v>SP</x:v>
      </x:c>
      <x:c r="F73" s="12" t="str">
        <x:v>30%</x:v>
      </x:c>
      <x:c r="G73" s="12" t="n">
        <x:v>100</x:v>
      </x:c>
      <x:c r="H73" s="12" t="n">
        <x:v>910</x:v>
      </x:c>
      <x:c r="I73" s="12" t="str">
        <x:v>ROTA RODOVIARIO</x:v>
      </x:c>
      <x:c r="J73" s="12" t="str">
        <x:v>rodotec.pdf</x:v>
      </x:c>
      <x:c r="K73" t="str">
        <x:v>2</x:v>
      </x:c>
      <x:c r="L73" t="str">
        <x:v>REVISAR_OK</x:v>
      </x:c>
      <x:c r="M73" t="str"/>
      <x:c r="N73" t="str">
        <x:v>SEM_ICMS</x:v>
      </x:c>
    </x:row>
    <x:row r="74">
      <x:c r="A74" s="12" t="str">
        <x:v>AC</x:v>
      </x:c>
      <x:c r="B74" s="12" t="str">
        <x:v>RODOTEC AC INTERIOR A</x:v>
      </x:c>
      <x:c r="C74" s="12" t="str">
        <x:v>Epitaciolândia</x:v>
      </x:c>
      <x:c r="D74" s="12" t="str">
        <x:v>Guarulhos</x:v>
      </x:c>
      <x:c r="E74" s="12" t="str">
        <x:v>SP</x:v>
      </x:c>
      <x:c r="F74" s="12" t="str">
        <x:v>35%</x:v>
      </x:c>
      <x:c r="G74" s="12" t="n">
        <x:v>100</x:v>
      </x:c>
      <x:c r="H74" s="12" t="n">
        <x:v>910</x:v>
      </x:c>
      <x:c r="I74" s="12" t="str">
        <x:v>ROTA RODOVIARIO</x:v>
      </x:c>
      <x:c r="J74" s="12" t="str">
        <x:v>rodotec.pdf</x:v>
      </x:c>
      <x:c r="K74" t="str">
        <x:v>2</x:v>
      </x:c>
      <x:c r="L74" t="str">
        <x:v>REVISAR_OK</x:v>
      </x:c>
      <x:c r="M74" t="str"/>
      <x:c r="N74" t="str">
        <x:v>SEM_ICMS</x:v>
      </x:c>
    </x:row>
    <x:row r="75">
      <x:c r="A75" s="12" t="str">
        <x:v>AC</x:v>
      </x:c>
      <x:c r="B75" s="12" t="str">
        <x:v>RODOTEC AC INTERIOR A</x:v>
      </x:c>
      <x:c r="C75" s="12" t="str">
        <x:v>Capixaba</x:v>
      </x:c>
      <x:c r="D75" s="12" t="str">
        <x:v>Guarulhos</x:v>
      </x:c>
      <x:c r="E75" s="12" t="str">
        <x:v>SP</x:v>
      </x:c>
      <x:c r="F75" s="12" t="str">
        <x:v>35%</x:v>
      </x:c>
      <x:c r="G75" s="12" t="n">
        <x:v>100</x:v>
      </x:c>
      <x:c r="H75" s="12" t="n">
        <x:v>1240</x:v>
      </x:c>
      <x:c r="I75" s="12" t="str">
        <x:v>ROTA RODOVIARIO</x:v>
      </x:c>
      <x:c r="J75" s="12" t="str">
        <x:v>rodotec.pdf</x:v>
      </x:c>
      <x:c r="K75" t="str">
        <x:v>2</x:v>
      </x:c>
      <x:c r="L75" t="str">
        <x:v>REVISAR_OK</x:v>
      </x:c>
      <x:c r="M75" t="str"/>
      <x:c r="N75" t="str">
        <x:v>SEM_ICMS</x:v>
      </x:c>
    </x:row>
    <x:row r="76">
      <x:c r="A76" s="12" t="str">
        <x:v>AC</x:v>
      </x:c>
      <x:c r="B76" s="12" t="str">
        <x:v>RODOTEC AC INTERIOR A</x:v>
      </x:c>
      <x:c r="C76" s="12" t="str">
        <x:v>Senador Guiomard</x:v>
      </x:c>
      <x:c r="D76" s="12" t="str">
        <x:v>Guarulhos</x:v>
      </x:c>
      <x:c r="E76" s="12" t="str">
        <x:v>SP</x:v>
      </x:c>
      <x:c r="F76" s="12" t="str">
        <x:v>35%</x:v>
      </x:c>
      <x:c r="G76" s="12" t="n">
        <x:v>100</x:v>
      </x:c>
      <x:c r="H76" s="12" t="n">
        <x:v>1240</x:v>
      </x:c>
      <x:c r="I76" s="12" t="str">
        <x:v>ROTA RODOVIARIO</x:v>
      </x:c>
      <x:c r="J76" s="12" t="str">
        <x:v>rodotec.pdf</x:v>
      </x:c>
      <x:c r="K76" t="str">
        <x:v>2</x:v>
      </x:c>
      <x:c r="L76" t="str">
        <x:v>REVISAR_OK</x:v>
      </x:c>
      <x:c r="M76" t="str"/>
      <x:c r="N76" t="str">
        <x:v>SEM_ICMS</x:v>
      </x:c>
    </x:row>
    <x:row r="77">
      <x:c r="A77" s="12" t="str">
        <x:v>AC</x:v>
      </x:c>
      <x:c r="B77" s="12" t="str">
        <x:v>RODOTEC AC INTERIOR A</x:v>
      </x:c>
      <x:c r="C77" s="12" t="str">
        <x:v>Bujari</x:v>
      </x:c>
      <x:c r="D77" s="12" t="str">
        <x:v>Guarulhos</x:v>
      </x:c>
      <x:c r="E77" s="12" t="str">
        <x:v>SP</x:v>
      </x:c>
      <x:c r="F77" s="12" t="str">
        <x:v>30%</x:v>
      </x:c>
      <x:c r="G77" s="12" t="n">
        <x:v>100</x:v>
      </x:c>
      <x:c r="H77" s="12" t="n">
        <x:v>1240</x:v>
      </x:c>
      <x:c r="I77" s="12" t="str">
        <x:v>ROTA RODOVIARIO</x:v>
      </x:c>
      <x:c r="J77" s="12" t="str">
        <x:v>rodotec.pdf</x:v>
      </x:c>
      <x:c r="K77" t="str">
        <x:v>2</x:v>
      </x:c>
      <x:c r="L77" t="str">
        <x:v>REVISAR_OK</x:v>
      </x:c>
      <x:c r="M77" t="str"/>
      <x:c r="N77" t="str">
        <x:v>SEM_ICMS</x:v>
      </x:c>
    </x:row>
    <x:row r="78">
      <x:c r="A78" s="12" t="str">
        <x:v>AC</x:v>
      </x:c>
      <x:c r="B78" s="12" t="str">
        <x:v>RODOTEC AC INTERIOR A</x:v>
      </x:c>
      <x:c r="C78" s="12" t="str">
        <x:v>Xapuri</x:v>
      </x:c>
      <x:c r="D78" s="12" t="str">
        <x:v>Guarulhos</x:v>
      </x:c>
      <x:c r="E78" s="12" t="str">
        <x:v>SP</x:v>
      </x:c>
      <x:c r="F78" s="12" t="str">
        <x:v>35%</x:v>
      </x:c>
      <x:c r="G78" s="12" t="n">
        <x:v>100</x:v>
      </x:c>
      <x:c r="H78" s="12" t="n">
        <x:v>1240</x:v>
      </x:c>
      <x:c r="I78" s="12" t="str">
        <x:v>ROTA RODOVIARIO</x:v>
      </x:c>
      <x:c r="J78" s="12" t="str">
        <x:v>rodotec.pdf</x:v>
      </x:c>
      <x:c r="K78" t="str">
        <x:v>2</x:v>
      </x:c>
      <x:c r="L78" t="str">
        <x:v>REVISAR_OK</x:v>
      </x:c>
      <x:c r="M78" t="str"/>
      <x:c r="N78" t="str">
        <x:v>SEM_ICMS</x:v>
      </x:c>
    </x:row>
    <x:row r="79">
      <x:c r="A79" s="12" t="str">
        <x:v>AC</x:v>
      </x:c>
      <x:c r="B79" s="12" t="str">
        <x:v>RODOTEC AC INTERIOR A</x:v>
      </x:c>
      <x:c r="C79" s="12" t="str">
        <x:v>Porto Acre</x:v>
      </x:c>
      <x:c r="D79" s="12" t="str">
        <x:v>Guarulhos</x:v>
      </x:c>
      <x:c r="E79" s="12" t="str">
        <x:v>SP</x:v>
      </x:c>
      <x:c r="F79" s="12" t="str">
        <x:v>30%</x:v>
      </x:c>
      <x:c r="G79" s="12" t="n">
        <x:v>100</x:v>
      </x:c>
      <x:c r="H79" s="12" t="n">
        <x:v>910</x:v>
      </x:c>
      <x:c r="I79" s="12" t="str">
        <x:v>ROTA RODOVIARIO</x:v>
      </x:c>
      <x:c r="J79" s="12" t="str">
        <x:v>rodotec.pdf</x:v>
      </x:c>
      <x:c r="K79" t="str">
        <x:v>2</x:v>
      </x:c>
      <x:c r="L79" t="str">
        <x:v>REVISAR_OK</x:v>
      </x:c>
      <x:c r="M79" t="str"/>
      <x:c r="N79" t="str">
        <x:v>SEM_ICMS</x:v>
      </x:c>
    </x:row>
    <x:row r="80">
      <x:c r="A80" s="12" t="str">
        <x:v>AC</x:v>
      </x:c>
      <x:c r="B80" s="12" t="str">
        <x:v>RODOTEC AC INTERIOR A</x:v>
      </x:c>
      <x:c r="C80" s="12" t="str">
        <x:v>Sena Madureira</x:v>
      </x:c>
      <x:c r="D80" s="12" t="str">
        <x:v>Guarulhos</x:v>
      </x:c>
      <x:c r="E80" s="12" t="str">
        <x:v>SP</x:v>
      </x:c>
      <x:c r="F80" s="12" t="str">
        <x:v>35%</x:v>
      </x:c>
      <x:c r="G80" s="12" t="n">
        <x:v>100</x:v>
      </x:c>
      <x:c r="H80" s="12" t="n">
        <x:v>1240</x:v>
      </x:c>
      <x:c r="I80" s="12" t="str">
        <x:v>ROTA RODOVIARIO</x:v>
      </x:c>
      <x:c r="J80" s="12" t="str">
        <x:v>rodotec.pdf</x:v>
      </x:c>
      <x:c r="K80" t="str">
        <x:v>2</x:v>
      </x:c>
      <x:c r="L80" t="str">
        <x:v>REVISAR_OK</x:v>
      </x:c>
      <x:c r="M80" t="str"/>
      <x:c r="N80" t="str">
        <x:v>SEM_ICMS</x:v>
      </x:c>
    </x:row>
    <x:row r="81">
      <x:c r="A81" s="12" t="str">
        <x:v>AC</x:v>
      </x:c>
      <x:c r="B81" s="12" t="str">
        <x:v>RODOTEC AC INTERIOR A</x:v>
      </x:c>
      <x:c r="C81" s="12" t="str">
        <x:v>Brasiléia</x:v>
      </x:c>
      <x:c r="D81" s="12" t="str">
        <x:v>Guarulhos</x:v>
      </x:c>
      <x:c r="E81" s="12" t="str">
        <x:v>SP</x:v>
      </x:c>
      <x:c r="F81" s="12" t="str">
        <x:v>35%</x:v>
      </x:c>
      <x:c r="G81" s="12" t="n">
        <x:v>100</x:v>
      </x:c>
      <x:c r="H81" s="12" t="n">
        <x:v>910</x:v>
      </x:c>
      <x:c r="I81" s="12" t="str">
        <x:v>ROTA RODOVIARIO</x:v>
      </x:c>
      <x:c r="J81" s="12" t="str">
        <x:v>rodotec.pdf</x:v>
      </x:c>
      <x:c r="K81" t="str">
        <x:v>2</x:v>
      </x:c>
      <x:c r="L81" t="str">
        <x:v>REVISAR_OK</x:v>
      </x:c>
      <x:c r="M81" t="str"/>
      <x:c r="N81" t="str">
        <x:v>SEM_ICMS</x:v>
      </x:c>
    </x:row>
    <x:row r="82">
      <x:c r="A82" s="12" t="str">
        <x:v>AC</x:v>
      </x:c>
      <x:c r="B82" s="12" t="str">
        <x:v>RODOTEC AC INTERIOR A</x:v>
      </x:c>
      <x:c r="C82" s="12" t="str">
        <x:v>Acrelândia</x:v>
      </x:c>
      <x:c r="D82" s="12" t="str">
        <x:v>Guarulhos</x:v>
      </x:c>
      <x:c r="E82" s="12" t="str">
        <x:v>SP</x:v>
      </x:c>
      <x:c r="F82" s="12" t="str">
        <x:v>30%</x:v>
      </x:c>
      <x:c r="G82" s="12" t="n">
        <x:v>100</x:v>
      </x:c>
      <x:c r="H82" s="12" t="n">
        <x:v>910</x:v>
      </x:c>
      <x:c r="I82" s="12" t="str">
        <x:v>ROTA RODOVIARIO</x:v>
      </x:c>
      <x:c r="J82" s="12" t="str">
        <x:v>rodotec.pdf</x:v>
      </x:c>
      <x:c r="K82" t="str">
        <x:v>2</x:v>
      </x:c>
      <x:c r="L82" t="str">
        <x:v>REVISAR_OK</x:v>
      </x:c>
      <x:c r="M82" t="str"/>
      <x:c r="N82" t="str">
        <x:v>SEM_ICMS</x:v>
      </x:c>
    </x:row>
    <x:row r="83">
      <x:c r="A83" s="12" t="str">
        <x:v>AC</x:v>
      </x:c>
      <x:c r="B83" s="12" t="str">
        <x:v>RODOTEC AC INTERIOR B</x:v>
      </x:c>
      <x:c r="C83" s="12" t="str">
        <x:v>Assis Brasil</x:v>
      </x:c>
      <x:c r="D83" s="12" t="str">
        <x:v>Guarulhos</x:v>
      </x:c>
      <x:c r="E83" s="12" t="str">
        <x:v>SP</x:v>
      </x:c>
      <x:c r="F83" s="12" t="str">
        <x:v>30%</x:v>
      </x:c>
      <x:c r="G83" s="12" t="n">
        <x:v>100</x:v>
      </x:c>
      <x:c r="H83" s="12" t="n">
        <x:v>910</x:v>
      </x:c>
      <x:c r="I83" s="12" t="str">
        <x:v>ROTA RODOVIARIO</x:v>
      </x:c>
      <x:c r="J83" s="12" t="str">
        <x:v>rodotec.pdf</x:v>
      </x:c>
      <x:c r="K83" t="str">
        <x:v>2</x:v>
      </x:c>
      <x:c r="L83" t="str">
        <x:v>REVISAR_OK</x:v>
      </x:c>
      <x:c r="M83" t="str"/>
      <x:c r="N83" t="str">
        <x:v>SEM_ICMS</x:v>
      </x:c>
    </x:row>
    <x:row r="84">
      <x:c r="A84" s="12" t="str">
        <x:v>AC</x:v>
      </x:c>
      <x:c r="B84" s="12" t="str">
        <x:v>RODOTEC AC INTERIOR B</x:v>
      </x:c>
      <x:c r="C84" s="12" t="str">
        <x:v>Manoel Urbano</x:v>
      </x:c>
      <x:c r="D84" s="12" t="str">
        <x:v>Guarulhos</x:v>
      </x:c>
      <x:c r="E84" s="12" t="str">
        <x:v>SP</x:v>
      </x:c>
      <x:c r="F84" s="12" t="str">
        <x:v>35%</x:v>
      </x:c>
      <x:c r="G84" s="12" t="n">
        <x:v>100</x:v>
      </x:c>
      <x:c r="H84" s="12" t="n">
        <x:v>1240</x:v>
      </x:c>
      <x:c r="I84" s="12" t="str">
        <x:v>ROTA RODOVIARIO</x:v>
      </x:c>
      <x:c r="J84" s="12" t="str">
        <x:v>rodotec.pdf</x:v>
      </x:c>
      <x:c r="K84" t="str">
        <x:v>2</x:v>
      </x:c>
      <x:c r="L84" t="str">
        <x:v>REVISAR_OK</x:v>
      </x:c>
      <x:c r="M84" t="str"/>
      <x:c r="N84" t="str">
        <x:v>SEM_ICMS</x:v>
      </x:c>
    </x:row>
    <x:row r="85">
      <x:c r="A85" s="12" t="str">
        <x:v>AC</x:v>
      </x:c>
      <x:c r="B85" s="12" t="str">
        <x:v>RODOTEC AC INTERIOR B</x:v>
      </x:c>
      <x:c r="C85" s="12" t="str">
        <x:v>Santa Rosa do Purus</x:v>
      </x:c>
      <x:c r="D85" s="12" t="str">
        <x:v>Guarulhos</x:v>
      </x:c>
      <x:c r="E85" s="12" t="str">
        <x:v>SP</x:v>
      </x:c>
      <x:c r="F85" s="12" t="str">
        <x:v>35%</x:v>
      </x:c>
      <x:c r="G85" s="12" t="n">
        <x:v>100</x:v>
      </x:c>
      <x:c r="H85" s="12" t="n">
        <x:v>1240</x:v>
      </x:c>
      <x:c r="I85" s="12" t="str">
        <x:v>ROTA RODO/FLUVIAL</x:v>
      </x:c>
      <x:c r="J85" s="12" t="str">
        <x:v>rodotec.pdf</x:v>
      </x:c>
      <x:c r="K85" t="str">
        <x:v>2</x:v>
      </x:c>
      <x:c r="L85" t="str">
        <x:v>REVISAR_OK</x:v>
      </x:c>
      <x:c r="M85" t="str"/>
      <x:c r="N85" t="str">
        <x:v>SEM_ICMS</x:v>
      </x:c>
    </x:row>
    <x:row r="86">
      <x:c r="A86" s="12" t="str">
        <x:v>AC</x:v>
      </x:c>
      <x:c r="B86" s="12" t="str">
        <x:v>RODOTEC AC INTERIOR B</x:v>
      </x:c>
      <x:c r="C86" s="12" t="str">
        <x:v>Jordão</x:v>
      </x:c>
      <x:c r="D86" s="12" t="str">
        <x:v>Guarulhos</x:v>
      </x:c>
      <x:c r="E86" s="12" t="str">
        <x:v>SP</x:v>
      </x:c>
      <x:c r="F86" s="12" t="str">
        <x:v>35%</x:v>
      </x:c>
      <x:c r="G86" s="12" t="n">
        <x:v>100</x:v>
      </x:c>
      <x:c r="H86" s="12" t="n">
        <x:v>1240</x:v>
      </x:c>
      <x:c r="I86" s="12" t="str">
        <x:v>ROTA RODO/FLUVIAL</x:v>
      </x:c>
      <x:c r="J86" s="12" t="str">
        <x:v>rodotec.pdf</x:v>
      </x:c>
      <x:c r="K86" t="str">
        <x:v>2</x:v>
      </x:c>
      <x:c r="L86" t="str">
        <x:v>REVISAR_OK</x:v>
      </x:c>
      <x:c r="M86" t="str"/>
      <x:c r="N86" t="str">
        <x:v>SEM_ICMS</x:v>
      </x:c>
    </x:row>
    <x:row r="87">
      <x:c r="A87" s="12" t="str">
        <x:v>AC</x:v>
      </x:c>
      <x:c r="B87" s="12" t="str">
        <x:v>RODOTEC AC INTERIOR B</x:v>
      </x:c>
      <x:c r="C87" s="12" t="str">
        <x:v>Tarauacá</x:v>
      </x:c>
      <x:c r="D87" s="12" t="str">
        <x:v>Guarulhos</x:v>
      </x:c>
      <x:c r="E87" s="12" t="str">
        <x:v>SP</x:v>
      </x:c>
      <x:c r="F87" s="12" t="str">
        <x:v>35%</x:v>
      </x:c>
      <x:c r="G87" s="12" t="n">
        <x:v>100</x:v>
      </x:c>
      <x:c r="H87" s="12" t="n">
        <x:v>1240</x:v>
      </x:c>
      <x:c r="I87" s="12" t="str">
        <x:v>ROTA RODOVIARIO</x:v>
      </x:c>
      <x:c r="J87" s="12" t="str">
        <x:v>rodotec.pdf</x:v>
      </x:c>
      <x:c r="K87" t="str">
        <x:v>2</x:v>
      </x:c>
      <x:c r="L87" t="str">
        <x:v>REVISAR_OK</x:v>
      </x:c>
      <x:c r="M87" t="str"/>
      <x:c r="N87" t="str">
        <x:v>SEM_ICMS</x:v>
      </x:c>
    </x:row>
    <x:row r="88">
      <x:c r="A88" s="12" t="str">
        <x:v>AC</x:v>
      </x:c>
      <x:c r="B88" s="12" t="str">
        <x:v>RODOTEC AC INTERIOR B</x:v>
      </x:c>
      <x:c r="C88" s="12" t="str">
        <x:v>Feijó</x:v>
      </x:c>
      <x:c r="D88" s="12" t="str">
        <x:v>Guarulhos</x:v>
      </x:c>
      <x:c r="E88" s="12" t="str">
        <x:v>SP</x:v>
      </x:c>
      <x:c r="F88" s="12" t="str">
        <x:v>35%</x:v>
      </x:c>
      <x:c r="G88" s="12" t="n">
        <x:v>100</x:v>
      </x:c>
      <x:c r="H88" s="12" t="n">
        <x:v>1240</x:v>
      </x:c>
      <x:c r="I88" s="12" t="str">
        <x:v>ROTA RODOVIARIO</x:v>
      </x:c>
      <x:c r="J88" s="12" t="str">
        <x:v>rodotec.pdf</x:v>
      </x:c>
      <x:c r="K88" t="str">
        <x:v>2</x:v>
      </x:c>
      <x:c r="L88" t="str">
        <x:v>REVISAR_OK</x:v>
      </x:c>
      <x:c r="M88" t="str"/>
      <x:c r="N88" t="str">
        <x:v>SEM_ICMS</x:v>
      </x:c>
    </x:row>
    <x:row r="89">
      <x:c r="A89" s="12" t="str">
        <x:v>AC</x:v>
      </x:c>
      <x:c r="B89" s="12" t="str">
        <x:v>RODOTEC AC INTERIOR C</x:v>
      </x:c>
      <x:c r="C89" s="12" t="str">
        <x:v>Porto Walter</x:v>
      </x:c>
      <x:c r="D89" s="12" t="str">
        <x:v>Guarulhos</x:v>
      </x:c>
      <x:c r="E89" s="12" t="str">
        <x:v>SP</x:v>
      </x:c>
      <x:c r="F89" s="12" t="str">
        <x:v>35%</x:v>
      </x:c>
      <x:c r="G89" s="12" t="n">
        <x:v>100</x:v>
      </x:c>
      <x:c r="H89" s="12" t="n">
        <x:v>1240</x:v>
      </x:c>
      <x:c r="I89" s="12" t="str">
        <x:v>ROTA RODO/FLUVIAL</x:v>
      </x:c>
      <x:c r="J89" s="12" t="str">
        <x:v>rodotec.pdf</x:v>
      </x:c>
      <x:c r="K89" t="str">
        <x:v>2</x:v>
      </x:c>
      <x:c r="L89" t="str">
        <x:v>REVISAR_OK</x:v>
      </x:c>
      <x:c r="M89" t="str"/>
      <x:c r="N89" t="str">
        <x:v>SEM_ICMS</x:v>
      </x:c>
    </x:row>
    <x:row r="90">
      <x:c r="A90" s="12" t="str">
        <x:v>AC</x:v>
      </x:c>
      <x:c r="B90" s="12" t="str">
        <x:v>RODOTEC AC INTERIOR C</x:v>
      </x:c>
      <x:c r="C90" s="12" t="str">
        <x:v>Marechal Thaumaturgo</x:v>
      </x:c>
      <x:c r="D90" s="12" t="str">
        <x:v>Guarulhos</x:v>
      </x:c>
      <x:c r="E90" s="12" t="str">
        <x:v>SP</x:v>
      </x:c>
      <x:c r="F90" s="12" t="str">
        <x:v>35%</x:v>
      </x:c>
      <x:c r="G90" s="12" t="n">
        <x:v>100</x:v>
      </x:c>
      <x:c r="H90" s="12" t="n">
        <x:v>1240</x:v>
      </x:c>
      <x:c r="I90" s="12" t="str">
        <x:v>ROTA RODO/FLUVIAL</x:v>
      </x:c>
      <x:c r="J90" s="12" t="str">
        <x:v>rodotec.pdf</x:v>
      </x:c>
      <x:c r="K90" t="str">
        <x:v>2</x:v>
      </x:c>
      <x:c r="L90" t="str">
        <x:v>REVISAR_OK</x:v>
      </x:c>
      <x:c r="M90" t="str"/>
      <x:c r="N90" t="str">
        <x:v>SEM_ICMS</x:v>
      </x:c>
    </x:row>
    <x:row r="91">
      <x:c r="A91" s="12" t="str">
        <x:v>AC</x:v>
      </x:c>
      <x:c r="B91" s="12" t="str">
        <x:v>RODOTEC AC INTERIOR C</x:v>
      </x:c>
      <x:c r="C91" s="12" t="str">
        <x:v>Mâncio Lima</x:v>
      </x:c>
      <x:c r="D91" s="12" t="str">
        <x:v>Guarulhos</x:v>
      </x:c>
      <x:c r="E91" s="12" t="str">
        <x:v>SP</x:v>
      </x:c>
      <x:c r="F91" s="12" t="str">
        <x:v>35%</x:v>
      </x:c>
      <x:c r="G91" s="12" t="n">
        <x:v>100</x:v>
      </x:c>
      <x:c r="H91" s="12" t="n">
        <x:v>1240</x:v>
      </x:c>
      <x:c r="I91" s="12" t="str">
        <x:v>ROTA RODOVIARIO</x:v>
      </x:c>
      <x:c r="J91" s="12" t="str">
        <x:v>rodotec.pdf</x:v>
      </x:c>
      <x:c r="K91" t="str">
        <x:v>2</x:v>
      </x:c>
      <x:c r="L91" t="str">
        <x:v>REVISAR_OK</x:v>
      </x:c>
      <x:c r="M91" t="str"/>
      <x:c r="N91" t="str">
        <x:v>SEM_ICMS</x:v>
      </x:c>
    </x:row>
    <x:row r="92">
      <x:c r="A92" s="12" t="str">
        <x:v>AC</x:v>
      </x:c>
      <x:c r="B92" s="12" t="str">
        <x:v>RODOTEC AC INTERIOR C</x:v>
      </x:c>
      <x:c r="C92" s="12" t="str">
        <x:v>Rodrigues Alves</x:v>
      </x:c>
      <x:c r="D92" s="12" t="str">
        <x:v>Guarulhos</x:v>
      </x:c>
      <x:c r="E92" s="12" t="str">
        <x:v>SP</x:v>
      </x:c>
      <x:c r="F92" s="12" t="str">
        <x:v>35%</x:v>
      </x:c>
      <x:c r="G92" s="12" t="n">
        <x:v>100</x:v>
      </x:c>
      <x:c r="H92" s="12" t="n">
        <x:v>1240</x:v>
      </x:c>
      <x:c r="I92" s="12" t="str">
        <x:v>ROTA RODOVIARIO</x:v>
      </x:c>
      <x:c r="J92" s="12" t="str">
        <x:v>rodotec.pdf</x:v>
      </x:c>
      <x:c r="K92" t="str">
        <x:v>2</x:v>
      </x:c>
      <x:c r="L92" t="str">
        <x:v>REVISAR_OK</x:v>
      </x:c>
      <x:c r="M92" t="str"/>
      <x:c r="N92" t="str">
        <x:v>SEM_ICMS</x:v>
      </x:c>
    </x:row>
    <x:row r="93">
      <x:c r="A93" s="12" t="str">
        <x:v>AC</x:v>
      </x:c>
      <x:c r="B93" s="12" t="str">
        <x:v>RODOTEC AC INTERIOR C</x:v>
      </x:c>
      <x:c r="C93" s="12" t="str">
        <x:v>Cruzeiro do Sul</x:v>
      </x:c>
      <x:c r="D93" s="12" t="str">
        <x:v>Guarulhos</x:v>
      </x:c>
      <x:c r="E93" s="12" t="str">
        <x:v>SP</x:v>
      </x:c>
      <x:c r="F93" s="12" t="str">
        <x:v>35%</x:v>
      </x:c>
      <x:c r="G93" s="12" t="n">
        <x:v>100</x:v>
      </x:c>
      <x:c r="H93" s="12" t="n">
        <x:v>1240</x:v>
      </x:c>
      <x:c r="I93" s="12" t="str">
        <x:v>ROTA RODOVIARIO</x:v>
      </x:c>
      <x:c r="J93" s="12" t="str">
        <x:v>rodotec.pdf</x:v>
      </x:c>
      <x:c r="K93" t="str">
        <x:v>2</x:v>
      </x:c>
      <x:c r="L93" t="str">
        <x:v>REVISAR_OK</x:v>
      </x:c>
      <x:c r="M93" t="str"/>
      <x:c r="N93" t="str">
        <x:v>SEM_ICMS</x:v>
      </x:c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65" t="str">
        <x:v>Prioridade</x:v>
      </x:c>
      <x:c r="B1" s="65" t="str">
        <x:v>Aba/Área</x:v>
      </x:c>
      <x:c r="C1" s="65" t="str">
        <x:v>O que encontrei</x:v>
      </x:c>
      <x:c r="D1" s="65" t="str">
        <x:v>Impacto</x:v>
      </x:c>
      <x:c r="E1" s="65" t="str">
        <x:v>Ação sugerida</x:v>
      </x:c>
      <x:c r="F1" s="65" t="str">
        <x:v>Status</x:v>
      </x:c>
      <x:c r="G1" s="57"/>
      <x:c r="H1" s="57"/>
      <x:c r="I1" s="57"/>
      <x:c r="J1" s="57"/>
    </x:row>
    <x:row r="2">
      <x:c r="A2" s="12" t="str">
        <x:v>OK</x:v>
      </x:c>
      <x:c r="B2" s="12" t="str">
        <x:v>RODOTEC_DESTINOS</x:v>
      </x:c>
      <x:c r="C2" s="12" t="str">
        <x:v>92 destinos revisados contra as páginas 1 e 2 do PDF.</x:v>
      </x:c>
      <x:c r="D2" s="12" t="str">
        <x:v>Lista cidade a cidade pronta para conferência operacional e cálculo por região/cidade.</x:v>
      </x:c>
      <x:c r="E2" s="12" t="str">
        <x:v>Manter esta aba como checklist da tabela Rodotec/W S.</x:v>
      </x:c>
      <x:c r="F2" s="12" t="str">
        <x:v>FINALIZADO</x:v>
      </x:c>
      <x:c r="G2" s="57"/>
      <x:c r="H2" s="57"/>
      <x:c r="I2" s="57"/>
      <x:c r="J2" s="57"/>
    </x:row>
    <x:row r="3">
      <x:c r="A3" s="12" t="str">
        <x:v>OK</x:v>
      </x:c>
      <x:c r="B3" s="12" t="str">
        <x:v>REGIOES</x:v>
      </x:c>
      <x:c r="C3" s="12" t="str">
        <x:v>92 destinos refletidos na aba REGIOES com percentual, frete mínimo, tonelagem, modal e data da proposta.</x:v>
      </x:c>
      <x:c r="D3" s="12" t="str">
        <x:v>O programa consegue usar percentual e frete mínimo por cidade; tonelagem/modal ficam registrados como referência.</x:v>
      </x:c>
      <x:c r="E3" s="12" t="str">
        <x:v>Usar REGIOES como fonte operacional do programa.</x:v>
      </x:c>
      <x:c r="F3" s="12" t="str">
        <x:v>FINALIZADO</x:v>
      </x:c>
      <x:c r="G3" s="57"/>
      <x:c r="H3" s="57"/>
      <x:c r="I3" s="57"/>
      <x:c r="J3" s="57"/>
    </x:row>
    <x:row r="4">
      <x:c r="A4" s="12" t="str">
        <x:v>OK</x:v>
      </x:c>
      <x:c r="B4" s="12" t="str">
        <x:v>REGRAS_PERCENTUAL</x:v>
      </x:c>
      <x:c r="C4" s="12" t="str">
        <x:v>As 4 regras genéricas de 'Vários destinos RO/AM/AC' seguem desativadas.</x:v>
      </x:c>
      <x:c r="D4" s="12" t="str">
        <x:v>Evita cálculo por regra ampla com percentual misto.</x:v>
      </x:c>
      <x:c r="E4" s="12" t="str">
        <x:v>Manter desativadas; usar REGIOES cidade a cidade.</x:v>
      </x:c>
      <x:c r="F4" s="12" t="str">
        <x:v>CORRIGIDO</x:v>
      </x:c>
      <x:c r="G4" s="57"/>
      <x:c r="H4" s="57"/>
      <x:c r="I4" s="57"/>
      <x:c r="J4" s="57"/>
    </x:row>
    <x:row r="5">
      <x:c r="A5" s="12" t="str">
        <x:v>OK</x:v>
      </x:c>
      <x:c r="B5" s="12" t="str">
        <x:v>REGRAS_EXTRAS</x:v>
      </x:c>
      <x:c r="C5" s="12" t="str">
        <x:v>Generalidades da página 2 revisadas e classificadas como REVISAR_OK ou REVISAR_OK_MANUAL.</x:v>
      </x:c>
      <x:c r="D5" s="12" t="str">
        <x:v>Extras com fórmula simples ficam claros; extras manuais não devem ser aprovados automaticamente.</x:v>
      </x:c>
      <x:c r="E5" s="12" t="str">
        <x:v>Tratar MANUAL via observação/revisão quando aparecer no XML.</x:v>
      </x:c>
      <x:c r="F5" s="12" t="str">
        <x:v>FINALIZADO</x:v>
      </x:c>
      <x:c r="G5" s="57"/>
      <x:c r="H5" s="57"/>
      <x:c r="I5" s="57"/>
      <x:c r="J5" s="57"/>
    </x:row>
    <x:row r="6">
      <x:c r="A6" s="12" t="str">
        <x:v>ATENÇÃO</x:v>
      </x:c>
      <x:c r="B6" s="12" t="str">
        <x:v>PROGRAMA</x:v>
      </x:c>
      <x:c r="C6" s="12" t="str">
        <x:v>O programa ainda não calcula tonelagem mínima automaticamente.</x:v>
      </x:c>
      <x:c r="D6" s="12" t="str">
        <x:v>A coluna está pronta na planilha, mas o motor de cálculo atual usa percentual/frete mínimo.</x:v>
      </x:c>
      <x:c r="E6" s="12" t="str">
        <x:v>Evoluir o programa futuramente se a tonelagem mínima precisar entrar no cálculo.</x:v>
      </x:c>
      <x:c r="F6" s="12" t="str">
        <x:v>PENDENTE_PROGRAMA</x:v>
      </x:c>
      <x:c r="G6" s="57"/>
      <x:c r="H6" s="57"/>
      <x:c r="I6" s="57"/>
      <x:c r="J6" s="57"/>
    </x:row>
    <x:row r="7">
      <x:c r="A7" s="12" t="str">
        <x:v>OK</x:v>
      </x:c>
      <x:c r="B7" s="12" t="str">
        <x:v>PARCEIROS</x:v>
      </x:c>
      <x:c r="C7" s="12" t="str">
        <x:v>W S/Rodotec está com os dois CNPJs cadastrados.</x:v>
      </x:c>
      <x:c r="D7" s="12" t="str">
        <x:v>Resolve identificação dos XMLs emitidos por matriz/filial.</x:v>
      </x:c>
      <x:c r="E7" s="12" t="str">
        <x:v>Testar com XMLs dos dois CNPJs.</x:v>
      </x:c>
      <x:c r="F7" s="12" t="str">
        <x:v>FINALIZADO</x:v>
      </x:c>
      <x:c r="G7" s="57"/>
      <x:c r="H7" s="57"/>
      <x:c r="I7" s="57"/>
      <x:c r="J7" s="57"/>
    </x:row>
    <x:row r="8">
      <x:c r="A8" s="12"/>
      <x:c r="B8" s="12"/>
      <x:c r="C8" s="12"/>
      <x:c r="D8" s="12"/>
      <x:c r="E8" s="12"/>
      <x:c r="F8" s="12"/>
      <x:c r="G8" s="57"/>
      <x:c r="H8" s="57"/>
      <x:c r="I8" s="57"/>
      <x:c r="J8" s="57"/>
    </x:row>
    <x:row r="9">
      <x:c r="A9" s="12"/>
      <x:c r="B9" s="12"/>
      <x:c r="C9" s="12"/>
      <x:c r="D9" s="12"/>
      <x:c r="E9" s="12"/>
      <x:c r="F9" s="12"/>
      <x:c r="G9" s="57"/>
      <x:c r="H9" s="57"/>
      <x:c r="I9" s="57"/>
      <x:c r="J9" s="57"/>
    </x:row>
    <x:row r="10">
      <x:c r="A10" s="12"/>
      <x:c r="B10" s="12"/>
      <x:c r="C10" s="12"/>
      <x:c r="D10" s="12"/>
      <x:c r="E10" s="12"/>
      <x:c r="F10" s="12"/>
      <x:c r="G10" s="57"/>
      <x:c r="H10" s="57"/>
      <x:c r="I10" s="57"/>
      <x:c r="J10" s="57"/>
    </x:row>
    <x:row r="11">
      <x:c r="A11" s="12"/>
      <x:c r="B11" s="12"/>
      <x:c r="C11" s="12"/>
      <x:c r="D11" s="12"/>
      <x:c r="E11" s="12"/>
      <x:c r="F11" s="12"/>
      <x:c r="G11" s="57"/>
      <x:c r="H11" s="57"/>
      <x:c r="I11" s="57"/>
      <x:c r="J11" s="57"/>
    </x:row>
    <x:row r="12">
      <x:c r="A12" s="12"/>
      <x:c r="B12" s="12"/>
      <x:c r="C12" s="12"/>
      <x:c r="D12" s="12"/>
      <x:c r="E12" s="12"/>
      <x:c r="F12" s="12"/>
      <x:c r="G12" s="57"/>
      <x:c r="H12" s="57"/>
      <x:c r="I12" s="57"/>
      <x:c r="J12" s="57"/>
    </x:row>
    <x:row r="13">
      <x:c r="A13" s="12"/>
      <x:c r="B13" s="12"/>
      <x:c r="C13" s="12"/>
      <x:c r="D13" s="12"/>
      <x:c r="E13" s="12"/>
      <x:c r="F13" s="12"/>
      <x:c r="G13" s="57"/>
      <x:c r="H13" s="57"/>
      <x:c r="I13" s="57"/>
      <x:c r="J13" s="57"/>
    </x:row>
    <x:row r="14">
      <x:c r="A14" s="12"/>
      <x:c r="B14" s="12"/>
      <x:c r="C14" s="12"/>
      <x:c r="D14" s="12"/>
      <x:c r="E14" s="12"/>
      <x:c r="F14" s="12"/>
      <x:c r="G14" s="57"/>
      <x:c r="H14" s="57"/>
      <x:c r="I14" s="57"/>
      <x:c r="J14" s="57"/>
    </x:row>
    <x:row r="15">
      <x:c r="A15" s="12"/>
      <x:c r="B15" s="12"/>
      <x:c r="C15" s="12"/>
      <x:c r="D15" s="12"/>
      <x:c r="E15" s="12"/>
      <x:c r="F15" s="12"/>
      <x:c r="G15" s="57"/>
      <x:c r="H15" s="57"/>
      <x:c r="I15" s="57"/>
      <x:c r="J15" s="57"/>
    </x:row>
    <x:row r="16">
      <x:c r="A16" s="12"/>
      <x:c r="B16" s="12"/>
      <x:c r="C16" s="12"/>
      <x:c r="D16" s="12"/>
      <x:c r="E16" s="12"/>
      <x:c r="F16" s="12"/>
      <x:c r="G16" s="57"/>
      <x:c r="H16" s="57"/>
      <x:c r="I16" s="57"/>
      <x:c r="J16" s="57"/>
    </x:row>
    <x:row r="17">
      <x:c r="A17" s="12"/>
      <x:c r="B17" s="12"/>
      <x:c r="C17" s="12"/>
      <x:c r="D17" s="12"/>
      <x:c r="E17" s="12"/>
      <x:c r="F17" s="12"/>
      <x:c r="G17" s="57"/>
      <x:c r="H17" s="57"/>
      <x:c r="I17" s="57"/>
      <x:c r="J17" s="57"/>
    </x:row>
    <x:row r="18">
      <x:c r="A18" s="12"/>
      <x:c r="B18" s="12"/>
      <x:c r="C18" s="12"/>
      <x:c r="D18" s="12"/>
      <x:c r="E18" s="12"/>
      <x:c r="F18" s="12"/>
      <x:c r="G18" s="57"/>
      <x:c r="H18" s="57"/>
      <x:c r="I18" s="57"/>
      <x:c r="J18" s="57"/>
    </x:row>
    <x:row r="19">
      <x:c r="A19" s="12"/>
      <x:c r="B19" s="12"/>
      <x:c r="C19" s="12"/>
      <x:c r="D19" s="12"/>
      <x:c r="E19" s="12"/>
      <x:c r="F19" s="12"/>
      <x:c r="G19" s="57"/>
      <x:c r="H19" s="57"/>
      <x:c r="I19" s="57"/>
      <x:c r="J19" s="57"/>
    </x:row>
    <x:row r="20">
      <x:c r="A20" s="12"/>
      <x:c r="B20" s="12"/>
      <x:c r="C20" s="12"/>
      <x:c r="D20" s="12"/>
      <x:c r="E20" s="12"/>
      <x:c r="F20" s="12"/>
      <x:c r="G20" s="57"/>
      <x:c r="H20" s="57"/>
      <x:c r="I20" s="57"/>
      <x:c r="J20" s="57"/>
    </x:row>
    <x:row r="21">
      <x:c r="A21" s="12"/>
      <x:c r="B21" s="12"/>
      <x:c r="C21" s="12"/>
      <x:c r="D21" s="12"/>
      <x:c r="E21" s="12"/>
      <x:c r="F21" s="12"/>
      <x:c r="G21" s="57"/>
      <x:c r="H21" s="57"/>
      <x:c r="I21" s="57"/>
      <x:c r="J21" s="57"/>
    </x:row>
    <x:row r="22">
      <x:c r="A22" s="12"/>
      <x:c r="B22" s="12"/>
      <x:c r="C22" s="12"/>
      <x:c r="D22" s="12"/>
      <x:c r="E22" s="12"/>
      <x:c r="F22" s="12"/>
      <x:c r="G22" s="57"/>
      <x:c r="H22" s="57"/>
      <x:c r="I22" s="57"/>
      <x:c r="J22" s="57"/>
    </x:row>
    <x:row r="23">
      <x:c r="A23" s="12"/>
      <x:c r="B23" s="12"/>
      <x:c r="C23" s="12"/>
      <x:c r="D23" s="12"/>
      <x:c r="E23" s="12"/>
      <x:c r="F23" s="12"/>
      <x:c r="G23" s="57"/>
      <x:c r="H23" s="57"/>
      <x:c r="I23" s="57"/>
      <x:c r="J23" s="57"/>
    </x:row>
    <x:row r="24">
      <x:c r="A24" s="12"/>
      <x:c r="B24" s="12"/>
      <x:c r="C24" s="12"/>
      <x:c r="D24" s="12"/>
      <x:c r="E24" s="12"/>
      <x:c r="F24" s="12"/>
      <x:c r="G24" s="57"/>
      <x:c r="H24" s="57"/>
      <x:c r="I24" s="57"/>
      <x:c r="J24" s="57"/>
    </x:row>
    <x:row r="25">
      <x:c r="A25" s="12"/>
      <x:c r="B25" s="12"/>
      <x:c r="C25" s="12"/>
      <x:c r="D25" s="12"/>
      <x:c r="E25" s="12"/>
      <x:c r="F25" s="12"/>
      <x:c r="G25" s="57"/>
      <x:c r="H25" s="57"/>
      <x:c r="I25" s="57"/>
      <x:c r="J25" s="57"/>
    </x:row>
    <x:row r="26">
      <x:c r="A26" s="12"/>
      <x:c r="B26" s="12"/>
      <x:c r="C26" s="12"/>
      <x:c r="D26" s="12"/>
      <x:c r="E26" s="12"/>
      <x:c r="F26" s="12"/>
      <x:c r="G26" s="57"/>
      <x:c r="H26" s="57"/>
      <x:c r="I26" s="57"/>
      <x:c r="J26" s="57"/>
    </x:row>
    <x:row r="27">
      <x:c r="A27" s="12"/>
      <x:c r="B27" s="12"/>
      <x:c r="C27" s="12"/>
      <x:c r="D27" s="12"/>
      <x:c r="E27" s="12"/>
      <x:c r="F27" s="12"/>
      <x:c r="G27" s="57"/>
      <x:c r="H27" s="57"/>
      <x:c r="I27" s="57"/>
      <x:c r="J27" s="57"/>
    </x:row>
    <x:row r="28">
      <x:c r="A28" s="12"/>
      <x:c r="B28" s="12"/>
      <x:c r="C28" s="12"/>
      <x:c r="D28" s="12"/>
      <x:c r="E28" s="12"/>
      <x:c r="F28" s="12"/>
      <x:c r="G28" s="57"/>
      <x:c r="H28" s="57"/>
      <x:c r="I28" s="57"/>
      <x:c r="J28" s="57"/>
    </x:row>
    <x:row r="29">
      <x:c r="A29" s="12"/>
      <x:c r="B29" s="12"/>
      <x:c r="C29" s="12"/>
      <x:c r="D29" s="12"/>
      <x:c r="E29" s="12"/>
      <x:c r="F29" s="12"/>
      <x:c r="G29" s="57"/>
      <x:c r="H29" s="57"/>
      <x:c r="I29" s="57"/>
      <x:c r="J29" s="57"/>
    </x:row>
    <x:row r="30">
      <x:c r="A30" s="12"/>
      <x:c r="B30" s="12"/>
      <x:c r="C30" s="12"/>
      <x:c r="D30" s="12"/>
      <x:c r="E30" s="12"/>
      <x:c r="F30" s="12"/>
      <x:c r="G30" s="57"/>
      <x:c r="H30" s="57"/>
      <x:c r="I30" s="57"/>
      <x:c r="J30" s="57"/>
    </x:row>
    <x:row r="31">
      <x:c r="A31" s="12"/>
      <x:c r="B31" s="12"/>
      <x:c r="C31" s="12"/>
      <x:c r="D31" s="12"/>
      <x:c r="E31" s="12"/>
      <x:c r="F31" s="12"/>
      <x:c r="G31" s="57"/>
      <x:c r="H31" s="57"/>
      <x:c r="I31" s="57"/>
      <x:c r="J31" s="57"/>
    </x:row>
    <x:row r="32">
      <x:c r="A32" s="12"/>
      <x:c r="B32" s="12"/>
      <x:c r="C32" s="12"/>
      <x:c r="D32" s="12"/>
      <x:c r="E32" s="12"/>
      <x:c r="F32" s="12"/>
      <x:c r="G32" s="57"/>
      <x:c r="H32" s="57"/>
      <x:c r="I32" s="57"/>
      <x:c r="J32" s="57"/>
    </x:row>
    <x:row r="33">
      <x:c r="A33" s="12"/>
      <x:c r="B33" s="12"/>
      <x:c r="C33" s="12"/>
      <x:c r="D33" s="12"/>
      <x:c r="E33" s="12"/>
      <x:c r="F33" s="12"/>
      <x:c r="G33" s="57"/>
      <x:c r="H33" s="57"/>
      <x:c r="I33" s="57"/>
      <x:c r="J33" s="57"/>
    </x:row>
    <x:row r="34">
      <x:c r="A34" s="12"/>
      <x:c r="B34" s="12"/>
      <x:c r="C34" s="12"/>
      <x:c r="D34" s="12"/>
      <x:c r="E34" s="12"/>
      <x:c r="F34" s="12"/>
      <x:c r="G34" s="57"/>
      <x:c r="H34" s="57"/>
      <x:c r="I34" s="57"/>
      <x:c r="J34" s="57"/>
    </x:row>
    <x:row r="35">
      <x:c r="A35" s="12"/>
      <x:c r="B35" s="12"/>
      <x:c r="C35" s="12"/>
      <x:c r="D35" s="12"/>
      <x:c r="E35" s="12"/>
      <x:c r="F35" s="12"/>
      <x:c r="G35" s="57"/>
      <x:c r="H35" s="57"/>
      <x:c r="I35" s="57"/>
      <x:c r="J35" s="57"/>
    </x:row>
    <x:row r="36">
      <x:c r="A36" s="12"/>
      <x:c r="B36" s="12"/>
      <x:c r="C36" s="12"/>
      <x:c r="D36" s="12"/>
      <x:c r="E36" s="12"/>
      <x:c r="F36" s="12"/>
      <x:c r="G36" s="57"/>
      <x:c r="H36" s="57"/>
      <x:c r="I36" s="57"/>
      <x:c r="J36" s="57"/>
    </x:row>
    <x:row r="37">
      <x:c r="A37" s="12"/>
      <x:c r="B37" s="12"/>
      <x:c r="C37" s="12"/>
      <x:c r="D37" s="12"/>
      <x:c r="E37" s="12"/>
      <x:c r="F37" s="12"/>
      <x:c r="G37" s="57"/>
      <x:c r="H37" s="57"/>
      <x:c r="I37" s="57"/>
      <x:c r="J37" s="57"/>
    </x:row>
    <x:row r="38">
      <x:c r="A38" s="12"/>
      <x:c r="B38" s="12"/>
      <x:c r="C38" s="12"/>
      <x:c r="D38" s="12"/>
      <x:c r="E38" s="12"/>
      <x:c r="F38" s="12"/>
      <x:c r="G38" s="57"/>
      <x:c r="H38" s="57"/>
      <x:c r="I38" s="57"/>
      <x:c r="J38" s="57"/>
    </x:row>
    <x:row r="39">
      <x:c r="A39" s="12"/>
      <x:c r="B39" s="12"/>
      <x:c r="C39" s="12"/>
      <x:c r="D39" s="12"/>
      <x:c r="E39" s="12"/>
      <x:c r="F39" s="12"/>
      <x:c r="G39" s="57"/>
      <x:c r="H39" s="57"/>
      <x:c r="I39" s="57"/>
      <x:c r="J39" s="57"/>
    </x:row>
    <x:row r="40">
      <x:c r="A40" s="12"/>
      <x:c r="B40" s="12"/>
      <x:c r="C40" s="12"/>
      <x:c r="D40" s="12"/>
      <x:c r="E40" s="12"/>
      <x:c r="F40" s="12"/>
      <x:c r="G40" s="57"/>
      <x:c r="H40" s="57"/>
      <x:c r="I40" s="57"/>
      <x:c r="J40" s="57"/>
    </x:row>
    <x:row r="41">
      <x:c r="A41" s="12"/>
      <x:c r="B41" s="12"/>
      <x:c r="C41" s="12"/>
      <x:c r="D41" s="12"/>
      <x:c r="E41" s="12"/>
      <x:c r="F41" s="12"/>
      <x:c r="G41" s="57"/>
      <x:c r="H41" s="57"/>
      <x:c r="I41" s="57"/>
      <x:c r="J41" s="57"/>
    </x:row>
    <x:row r="42">
      <x:c r="A42" s="12"/>
      <x:c r="B42" s="12"/>
      <x:c r="C42" s="12"/>
      <x:c r="D42" s="12"/>
      <x:c r="E42" s="12"/>
      <x:c r="F42" s="12"/>
      <x:c r="G42" s="57"/>
      <x:c r="H42" s="57"/>
      <x:c r="I42" s="57"/>
      <x:c r="J42" s="57"/>
    </x:row>
    <x:row r="43">
      <x:c r="A43" s="12"/>
      <x:c r="B43" s="12"/>
      <x:c r="C43" s="12"/>
      <x:c r="D43" s="12"/>
      <x:c r="E43" s="12"/>
      <x:c r="F43" s="12"/>
      <x:c r="G43" s="57"/>
      <x:c r="H43" s="57"/>
      <x:c r="I43" s="57"/>
      <x:c r="J43" s="57"/>
    </x:row>
    <x:row r="44">
      <x:c r="A44" s="12"/>
      <x:c r="B44" s="12"/>
      <x:c r="C44" s="12"/>
      <x:c r="D44" s="12"/>
      <x:c r="E44" s="12"/>
      <x:c r="F44" s="12"/>
      <x:c r="G44" s="57"/>
      <x:c r="H44" s="57"/>
      <x:c r="I44" s="57"/>
      <x:c r="J44" s="57"/>
    </x:row>
    <x:row r="45">
      <x:c r="A45" s="12"/>
      <x:c r="B45" s="12"/>
      <x:c r="C45" s="12"/>
      <x:c r="D45" s="12"/>
      <x:c r="E45" s="12"/>
      <x:c r="F45" s="12"/>
      <x:c r="G45" s="57"/>
      <x:c r="H45" s="57"/>
      <x:c r="I45" s="57"/>
      <x:c r="J45" s="57"/>
    </x:row>
    <x:row r="46">
      <x:c r="A46" s="12"/>
      <x:c r="B46" s="12"/>
      <x:c r="C46" s="12"/>
      <x:c r="D46" s="12"/>
      <x:c r="E46" s="12"/>
      <x:c r="F46" s="12"/>
      <x:c r="G46" s="57"/>
      <x:c r="H46" s="57"/>
      <x:c r="I46" s="57"/>
      <x:c r="J46" s="57"/>
    </x:row>
    <x:row r="47">
      <x:c r="A47" s="12"/>
      <x:c r="B47" s="12"/>
      <x:c r="C47" s="12"/>
      <x:c r="D47" s="12"/>
      <x:c r="E47" s="12"/>
      <x:c r="F47" s="12"/>
      <x:c r="G47" s="57"/>
      <x:c r="H47" s="57"/>
      <x:c r="I47" s="57"/>
      <x:c r="J47" s="57"/>
    </x:row>
    <x:row r="48">
      <x:c r="A48" s="12"/>
      <x:c r="B48" s="12"/>
      <x:c r="C48" s="12"/>
      <x:c r="D48" s="12"/>
      <x:c r="E48" s="12"/>
      <x:c r="F48" s="12"/>
      <x:c r="G48" s="57"/>
      <x:c r="H48" s="57"/>
      <x:c r="I48" s="57"/>
      <x:c r="J48" s="57"/>
    </x:row>
    <x:row r="49">
      <x:c r="A49" s="12"/>
      <x:c r="B49" s="12"/>
      <x:c r="C49" s="12"/>
      <x:c r="D49" s="12"/>
      <x:c r="E49" s="12"/>
      <x:c r="F49" s="12"/>
      <x:c r="G49" s="57"/>
      <x:c r="H49" s="57"/>
      <x:c r="I49" s="57"/>
      <x:c r="J49" s="57"/>
    </x:row>
    <x:row r="50">
      <x:c r="A50" s="12"/>
      <x:c r="B50" s="12"/>
      <x:c r="C50" s="12"/>
      <x:c r="D50" s="12"/>
      <x:c r="E50" s="12"/>
      <x:c r="F50" s="12"/>
      <x:c r="G50" s="57"/>
      <x:c r="H50" s="57"/>
      <x:c r="I50" s="57"/>
      <x:c r="J50" s="57"/>
    </x:row>
    <x:row r="51">
      <x:c r="A51" s="12"/>
      <x:c r="B51" s="12"/>
      <x:c r="C51" s="12"/>
      <x:c r="D51" s="12"/>
      <x:c r="E51" s="12"/>
      <x:c r="F51" s="12"/>
      <x:c r="G51" s="57"/>
      <x:c r="H51" s="57"/>
      <x:c r="I51" s="57"/>
      <x:c r="J51" s="57"/>
    </x:row>
    <x:row r="52">
      <x:c r="A52" s="12"/>
      <x:c r="B52" s="12"/>
      <x:c r="C52" s="12"/>
      <x:c r="D52" s="12"/>
      <x:c r="E52" s="12"/>
      <x:c r="F52" s="12"/>
      <x:c r="G52" s="57"/>
      <x:c r="H52" s="57"/>
      <x:c r="I52" s="57"/>
      <x:c r="J52" s="57"/>
    </x:row>
    <x:row r="53">
      <x:c r="A53" s="12"/>
      <x:c r="B53" s="12"/>
      <x:c r="C53" s="12"/>
      <x:c r="D53" s="12"/>
      <x:c r="E53" s="12"/>
      <x:c r="F53" s="12"/>
      <x:c r="G53" s="57"/>
      <x:c r="H53" s="57"/>
      <x:c r="I53" s="57"/>
      <x:c r="J53" s="57"/>
    </x:row>
    <x:row r="54">
      <x:c r="A54" s="12"/>
      <x:c r="B54" s="12"/>
      <x:c r="C54" s="12"/>
      <x:c r="D54" s="12"/>
      <x:c r="E54" s="12"/>
      <x:c r="F54" s="12"/>
      <x:c r="G54" s="57"/>
      <x:c r="H54" s="57"/>
      <x:c r="I54" s="57"/>
      <x:c r="J54" s="57"/>
    </x:row>
    <x:row r="55">
      <x:c r="A55" s="12"/>
      <x:c r="B55" s="12"/>
      <x:c r="C55" s="12"/>
      <x:c r="D55" s="12"/>
      <x:c r="E55" s="12"/>
      <x:c r="F55" s="12"/>
      <x:c r="G55" s="57"/>
      <x:c r="H55" s="57"/>
      <x:c r="I55" s="57"/>
      <x:c r="J55" s="57"/>
    </x:row>
    <x:row r="56">
      <x:c r="A56" s="12"/>
      <x:c r="B56" s="12"/>
      <x:c r="C56" s="12"/>
      <x:c r="D56" s="12"/>
      <x:c r="E56" s="12"/>
      <x:c r="F56" s="12"/>
      <x:c r="G56" s="57"/>
      <x:c r="H56" s="57"/>
      <x:c r="I56" s="57"/>
      <x:c r="J56" s="57"/>
    </x:row>
    <x:row r="57">
      <x:c r="A57" s="12"/>
      <x:c r="B57" s="12"/>
      <x:c r="C57" s="12"/>
      <x:c r="D57" s="12"/>
      <x:c r="E57" s="12"/>
      <x:c r="F57" s="12"/>
      <x:c r="G57" s="57"/>
      <x:c r="H57" s="57"/>
      <x:c r="I57" s="57"/>
      <x:c r="J57" s="57"/>
    </x:row>
    <x:row r="58">
      <x:c r="A58" s="12"/>
      <x:c r="B58" s="12"/>
      <x:c r="C58" s="12"/>
      <x:c r="D58" s="12"/>
      <x:c r="E58" s="12"/>
      <x:c r="F58" s="12"/>
      <x:c r="G58" s="57"/>
      <x:c r="H58" s="57"/>
      <x:c r="I58" s="57"/>
      <x:c r="J58" s="57"/>
    </x:row>
    <x:row r="59">
      <x:c r="A59" s="12"/>
      <x:c r="B59" s="12"/>
      <x:c r="C59" s="12"/>
      <x:c r="D59" s="12"/>
      <x:c r="E59" s="12"/>
      <x:c r="F59" s="12"/>
      <x:c r="G59" s="57"/>
      <x:c r="H59" s="57"/>
      <x:c r="I59" s="57"/>
      <x:c r="J59" s="57"/>
    </x:row>
    <x:row r="60">
      <x:c r="A60" s="12"/>
      <x:c r="B60" s="12"/>
      <x:c r="C60" s="12"/>
      <x:c r="D60" s="12"/>
      <x:c r="E60" s="12"/>
      <x:c r="F60" s="12"/>
      <x:c r="G60" s="57"/>
      <x:c r="H60" s="57"/>
      <x:c r="I60" s="57"/>
      <x:c r="J60" s="57"/>
    </x:row>
    <x:row r="61">
      <x:c r="A61" s="12"/>
      <x:c r="B61" s="12"/>
      <x:c r="C61" s="12"/>
      <x:c r="D61" s="12"/>
      <x:c r="E61" s="12"/>
      <x:c r="F61" s="12"/>
      <x:c r="G61" s="57"/>
      <x:c r="H61" s="57"/>
      <x:c r="I61" s="57"/>
      <x:c r="J61" s="57"/>
    </x:row>
    <x:row r="62">
      <x:c r="A62" s="12"/>
      <x:c r="B62" s="12"/>
      <x:c r="C62" s="12"/>
      <x:c r="D62" s="12"/>
      <x:c r="E62" s="12"/>
      <x:c r="F62" s="12"/>
      <x:c r="G62" s="57"/>
      <x:c r="H62" s="57"/>
      <x:c r="I62" s="57"/>
      <x:c r="J62" s="57"/>
    </x:row>
    <x:row r="63">
      <x:c r="A63" s="12"/>
      <x:c r="B63" s="12"/>
      <x:c r="C63" s="12"/>
      <x:c r="D63" s="12"/>
      <x:c r="E63" s="12"/>
      <x:c r="F63" s="12"/>
      <x:c r="G63" s="57"/>
      <x:c r="H63" s="57"/>
      <x:c r="I63" s="57"/>
      <x:c r="J63" s="57"/>
    </x:row>
    <x:row r="64">
      <x:c r="A64" s="12"/>
      <x:c r="B64" s="12"/>
      <x:c r="C64" s="12"/>
      <x:c r="D64" s="12"/>
      <x:c r="E64" s="12"/>
      <x:c r="F64" s="12"/>
      <x:c r="G64" s="57"/>
      <x:c r="H64" s="57"/>
      <x:c r="I64" s="57"/>
      <x:c r="J64" s="57"/>
    </x:row>
    <x:row r="65">
      <x:c r="A65" s="12"/>
      <x:c r="B65" s="12"/>
      <x:c r="C65" s="12"/>
      <x:c r="D65" s="12"/>
      <x:c r="E65" s="12"/>
      <x:c r="F65" s="12"/>
      <x:c r="G65" s="57"/>
      <x:c r="H65" s="57"/>
      <x:c r="I65" s="57"/>
      <x:c r="J65" s="57"/>
    </x:row>
    <x:row r="66">
      <x:c r="A66" s="12"/>
      <x:c r="B66" s="12"/>
      <x:c r="C66" s="12"/>
      <x:c r="D66" s="12"/>
      <x:c r="E66" s="12"/>
      <x:c r="F66" s="12"/>
      <x:c r="G66" s="57"/>
      <x:c r="H66" s="57"/>
      <x:c r="I66" s="57"/>
      <x:c r="J66" s="57"/>
    </x:row>
    <x:row r="67">
      <x:c r="A67" s="12"/>
      <x:c r="B67" s="12"/>
      <x:c r="C67" s="12"/>
      <x:c r="D67" s="12"/>
      <x:c r="E67" s="12"/>
      <x:c r="F67" s="12"/>
      <x:c r="G67" s="57"/>
      <x:c r="H67" s="57"/>
      <x:c r="I67" s="57"/>
      <x:c r="J67" s="57"/>
    </x:row>
    <x:row r="68">
      <x:c r="A68" s="12"/>
      <x:c r="B68" s="12"/>
      <x:c r="C68" s="12"/>
      <x:c r="D68" s="12"/>
      <x:c r="E68" s="12"/>
      <x:c r="F68" s="12"/>
      <x:c r="G68" s="57"/>
      <x:c r="H68" s="57"/>
      <x:c r="I68" s="57"/>
      <x:c r="J68" s="57"/>
    </x:row>
    <x:row r="69">
      <x:c r="A69" s="12"/>
      <x:c r="B69" s="12"/>
      <x:c r="C69" s="12"/>
      <x:c r="D69" s="12"/>
      <x:c r="E69" s="12"/>
      <x:c r="F69" s="12"/>
      <x:c r="G69" s="57"/>
      <x:c r="H69" s="57"/>
      <x:c r="I69" s="57"/>
      <x:c r="J69" s="57"/>
    </x:row>
    <x:row r="70">
      <x:c r="A70" s="12"/>
      <x:c r="B70" s="12"/>
      <x:c r="C70" s="12"/>
      <x:c r="D70" s="12"/>
      <x:c r="E70" s="12"/>
      <x:c r="F70" s="12"/>
      <x:c r="G70" s="57"/>
      <x:c r="H70" s="57"/>
      <x:c r="I70" s="57"/>
      <x:c r="J70" s="57"/>
    </x:row>
    <x:row r="71">
      <x:c r="A71" s="12"/>
      <x:c r="B71" s="12"/>
      <x:c r="C71" s="12"/>
      <x:c r="D71" s="12"/>
      <x:c r="E71" s="12"/>
      <x:c r="F71" s="12"/>
      <x:c r="G71" s="57"/>
      <x:c r="H71" s="57"/>
      <x:c r="I71" s="57"/>
      <x:c r="J71" s="57"/>
    </x:row>
    <x:row r="72">
      <x:c r="A72" s="12"/>
      <x:c r="B72" s="12"/>
      <x:c r="C72" s="12"/>
      <x:c r="D72" s="12"/>
      <x:c r="E72" s="12"/>
      <x:c r="F72" s="12"/>
      <x:c r="G72" s="57"/>
      <x:c r="H72" s="57"/>
      <x:c r="I72" s="57"/>
      <x:c r="J72" s="57"/>
    </x:row>
    <x:row r="73">
      <x:c r="A73" s="12"/>
      <x:c r="B73" s="12"/>
      <x:c r="C73" s="12"/>
      <x:c r="D73" s="12"/>
      <x:c r="E73" s="12"/>
      <x:c r="F73" s="12"/>
      <x:c r="G73" s="57"/>
      <x:c r="H73" s="57"/>
      <x:c r="I73" s="57"/>
      <x:c r="J73" s="57"/>
    </x:row>
    <x:row r="74">
      <x:c r="A74" s="12"/>
      <x:c r="B74" s="12"/>
      <x:c r="C74" s="12"/>
      <x:c r="D74" s="12"/>
      <x:c r="E74" s="12"/>
      <x:c r="F74" s="12"/>
      <x:c r="G74" s="57"/>
      <x:c r="H74" s="57"/>
      <x:c r="I74" s="57"/>
      <x:c r="J74" s="57"/>
    </x:row>
    <x:row r="75">
      <x:c r="A75" s="12"/>
      <x:c r="B75" s="12"/>
      <x:c r="C75" s="12"/>
      <x:c r="D75" s="12"/>
      <x:c r="E75" s="12"/>
      <x:c r="F75" s="12"/>
      <x:c r="G75" s="57"/>
      <x:c r="H75" s="57"/>
      <x:c r="I75" s="57"/>
      <x:c r="J75" s="57"/>
    </x:row>
    <x:row r="76">
      <x:c r="A76" s="12"/>
      <x:c r="B76" s="12"/>
      <x:c r="C76" s="12"/>
      <x:c r="D76" s="12"/>
      <x:c r="E76" s="12"/>
      <x:c r="F76" s="12"/>
      <x:c r="G76" s="57"/>
      <x:c r="H76" s="57"/>
      <x:c r="I76" s="57"/>
      <x:c r="J76" s="57"/>
    </x:row>
    <x:row r="77">
      <x:c r="A77" s="12"/>
      <x:c r="B77" s="12"/>
      <x:c r="C77" s="12"/>
      <x:c r="D77" s="12"/>
      <x:c r="E77" s="12"/>
      <x:c r="F77" s="12"/>
      <x:c r="G77" s="57"/>
      <x:c r="H77" s="57"/>
      <x:c r="I77" s="57"/>
      <x:c r="J77" s="57"/>
    </x:row>
    <x:row r="78">
      <x:c r="A78" s="12"/>
      <x:c r="B78" s="12"/>
      <x:c r="C78" s="12"/>
      <x:c r="D78" s="12"/>
      <x:c r="E78" s="12"/>
      <x:c r="F78" s="12"/>
      <x:c r="G78" s="57"/>
      <x:c r="H78" s="57"/>
      <x:c r="I78" s="57"/>
      <x:c r="J78" s="57"/>
    </x:row>
    <x:row r="79">
      <x:c r="A79" s="12"/>
      <x:c r="B79" s="12"/>
      <x:c r="C79" s="12"/>
      <x:c r="D79" s="12"/>
      <x:c r="E79" s="12"/>
      <x:c r="F79" s="12"/>
      <x:c r="G79" s="57"/>
      <x:c r="H79" s="57"/>
      <x:c r="I79" s="57"/>
      <x:c r="J79" s="57"/>
    </x:row>
    <x:row r="80">
      <x:c r="A80" s="12"/>
      <x:c r="B80" s="12"/>
      <x:c r="C80" s="12"/>
      <x:c r="D80" s="12"/>
      <x:c r="E80" s="12"/>
      <x:c r="F80" s="12"/>
      <x:c r="G80" s="57"/>
      <x:c r="H80" s="57"/>
      <x:c r="I80" s="57"/>
      <x:c r="J80" s="57"/>
    </x:row>
    <x:row r="81">
      <x:c r="A81" s="12"/>
      <x:c r="B81" s="12"/>
      <x:c r="C81" s="12"/>
      <x:c r="D81" s="12"/>
      <x:c r="E81" s="12"/>
      <x:c r="F81" s="12"/>
      <x:c r="G81" s="57"/>
      <x:c r="H81" s="57"/>
      <x:c r="I81" s="57"/>
      <x:c r="J81" s="57"/>
    </x:row>
    <x:row r="82">
      <x:c r="A82" s="12"/>
      <x:c r="B82" s="12"/>
      <x:c r="C82" s="12"/>
      <x:c r="D82" s="12"/>
      <x:c r="E82" s="12"/>
      <x:c r="F82" s="12"/>
      <x:c r="G82" s="57"/>
      <x:c r="H82" s="57"/>
      <x:c r="I82" s="57"/>
      <x:c r="J82" s="57"/>
    </x:row>
    <x:row r="83">
      <x:c r="A83" s="12"/>
      <x:c r="B83" s="12"/>
      <x:c r="C83" s="12"/>
      <x:c r="D83" s="12"/>
      <x:c r="E83" s="12"/>
      <x:c r="F83" s="12"/>
      <x:c r="G83" s="57"/>
      <x:c r="H83" s="57"/>
      <x:c r="I83" s="57"/>
      <x:c r="J83" s="57"/>
    </x:row>
    <x:row r="84">
      <x:c r="A84" s="12"/>
      <x:c r="B84" s="12"/>
      <x:c r="C84" s="12"/>
      <x:c r="D84" s="12"/>
      <x:c r="E84" s="12"/>
      <x:c r="F84" s="12"/>
      <x:c r="G84" s="57"/>
      <x:c r="H84" s="57"/>
      <x:c r="I84" s="57"/>
      <x:c r="J84" s="57"/>
    </x:row>
    <x:row r="85">
      <x:c r="A85" s="12"/>
      <x:c r="B85" s="12"/>
      <x:c r="C85" s="12"/>
      <x:c r="D85" s="12"/>
      <x:c r="E85" s="12"/>
      <x:c r="F85" s="12"/>
      <x:c r="G85" s="57"/>
      <x:c r="H85" s="57"/>
      <x:c r="I85" s="57"/>
      <x:c r="J85" s="57"/>
    </x:row>
    <x:row r="86">
      <x:c r="A86" s="12"/>
      <x:c r="B86" s="12"/>
      <x:c r="C86" s="12"/>
      <x:c r="D86" s="12"/>
      <x:c r="E86" s="12"/>
      <x:c r="F86" s="12"/>
      <x:c r="G86" s="57"/>
      <x:c r="H86" s="57"/>
      <x:c r="I86" s="57"/>
      <x:c r="J86" s="57"/>
    </x:row>
    <x:row r="87">
      <x:c r="A87" s="12"/>
      <x:c r="B87" s="12"/>
      <x:c r="C87" s="12"/>
      <x:c r="D87" s="12"/>
      <x:c r="E87" s="12"/>
      <x:c r="F87" s="12"/>
      <x:c r="G87" s="57"/>
      <x:c r="H87" s="57"/>
      <x:c r="I87" s="57"/>
      <x:c r="J87" s="57"/>
    </x:row>
    <x:row r="88">
      <x:c r="A88" s="12"/>
      <x:c r="B88" s="12"/>
      <x:c r="C88" s="12"/>
      <x:c r="D88" s="12"/>
      <x:c r="E88" s="12"/>
      <x:c r="F88" s="12"/>
      <x:c r="G88" s="57"/>
      <x:c r="H88" s="57"/>
      <x:c r="I88" s="57"/>
      <x:c r="J88" s="57"/>
    </x:row>
    <x:row r="89">
      <x:c r="A89" s="12"/>
      <x:c r="B89" s="12"/>
      <x:c r="C89" s="12"/>
      <x:c r="D89" s="12"/>
      <x:c r="E89" s="12"/>
      <x:c r="F89" s="12"/>
      <x:c r="G89" s="57"/>
      <x:c r="H89" s="57"/>
      <x:c r="I89" s="57"/>
      <x:c r="J89" s="57"/>
    </x:row>
    <x:row r="90">
      <x:c r="A90" s="12"/>
      <x:c r="B90" s="12"/>
      <x:c r="C90" s="12"/>
      <x:c r="D90" s="12"/>
      <x:c r="E90" s="12"/>
      <x:c r="F90" s="12"/>
      <x:c r="G90" s="57"/>
      <x:c r="H90" s="57"/>
      <x:c r="I90" s="57"/>
      <x:c r="J90" s="57"/>
    </x:row>
    <x:row r="91">
      <x:c r="A91" s="12"/>
      <x:c r="B91" s="12"/>
      <x:c r="C91" s="12"/>
      <x:c r="D91" s="12"/>
      <x:c r="E91" s="12"/>
      <x:c r="F91" s="12"/>
      <x:c r="G91" s="57"/>
      <x:c r="H91" s="57"/>
      <x:c r="I91" s="57"/>
      <x:c r="J91" s="57"/>
    </x:row>
    <x:row r="92">
      <x:c r="A92" s="12"/>
      <x:c r="B92" s="12"/>
      <x:c r="C92" s="12"/>
      <x:c r="D92" s="12"/>
      <x:c r="E92" s="12"/>
      <x:c r="F92" s="12"/>
      <x:c r="G92" s="57"/>
      <x:c r="H92" s="57"/>
      <x:c r="I92" s="57"/>
      <x:c r="J92" s="57"/>
    </x:row>
    <x:row r="93">
      <x:c r="A93" s="12"/>
      <x:c r="B93" s="12"/>
      <x:c r="C93" s="12"/>
      <x:c r="D93" s="12"/>
      <x:c r="E93" s="12"/>
      <x:c r="F93" s="12"/>
      <x:c r="G93" s="57"/>
      <x:c r="H93" s="57"/>
      <x:c r="I93" s="57"/>
      <x:c r="J93" s="57"/>
    </x:row>
    <x:row r="94">
      <x:c r="A94" s="12"/>
      <x:c r="B94" s="12"/>
      <x:c r="C94" s="12"/>
      <x:c r="D94" s="12"/>
      <x:c r="E94" s="12"/>
      <x:c r="F94" s="12"/>
      <x:c r="G94" s="57"/>
      <x:c r="H94" s="57"/>
      <x:c r="I94" s="57"/>
      <x:c r="J94" s="57"/>
    </x:row>
    <x:row r="95">
      <x:c r="A95" s="12"/>
      <x:c r="B95" s="12"/>
      <x:c r="C95" s="12"/>
      <x:c r="D95" s="12"/>
      <x:c r="E95" s="12"/>
      <x:c r="F95" s="12"/>
      <x:c r="G95" s="57"/>
      <x:c r="H95" s="57"/>
      <x:c r="I95" s="57"/>
      <x:c r="J95" s="57"/>
    </x:row>
    <x:row r="96">
      <x:c r="A96" s="12"/>
      <x:c r="B96" s="12"/>
      <x:c r="C96" s="12"/>
      <x:c r="D96" s="12"/>
      <x:c r="E96" s="12"/>
      <x:c r="F96" s="12"/>
      <x:c r="G96" s="57"/>
      <x:c r="H96" s="57"/>
      <x:c r="I96" s="57"/>
      <x:c r="J96" s="57"/>
    </x:row>
    <x:row r="97">
      <x:c r="A97" s="12"/>
      <x:c r="B97" s="12"/>
      <x:c r="C97" s="12"/>
      <x:c r="D97" s="12"/>
      <x:c r="E97" s="12"/>
      <x:c r="F97" s="12"/>
      <x:c r="G97" s="57"/>
      <x:c r="H97" s="57"/>
      <x:c r="I97" s="57"/>
      <x:c r="J97" s="57"/>
    </x:row>
    <x:row r="98">
      <x:c r="A98" s="12"/>
      <x:c r="B98" s="12"/>
      <x:c r="C98" s="12"/>
      <x:c r="D98" s="12"/>
      <x:c r="E98" s="12"/>
      <x:c r="F98" s="12"/>
      <x:c r="G98" s="57"/>
      <x:c r="H98" s="57"/>
      <x:c r="I98" s="57"/>
      <x:c r="J98" s="57"/>
    </x:row>
    <x:row r="99">
      <x:c r="A99" s="12"/>
      <x:c r="B99" s="12"/>
      <x:c r="C99" s="12"/>
      <x:c r="D99" s="12"/>
      <x:c r="E99" s="12"/>
      <x:c r="F99" s="12"/>
      <x:c r="G99" s="57"/>
      <x:c r="H99" s="57"/>
      <x:c r="I99" s="57"/>
      <x:c r="J99" s="57"/>
    </x:row>
    <x:row r="100">
      <x:c r="A100" s="12"/>
      <x:c r="B100" s="12"/>
      <x:c r="C100" s="12"/>
      <x:c r="D100" s="12"/>
      <x:c r="E100" s="12"/>
      <x:c r="F100" s="12"/>
      <x:c r="G100" s="57"/>
      <x:c r="H100" s="57"/>
      <x:c r="I100" s="57"/>
      <x:c r="J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65" t="str">
        <x:v>Prioridade</x:v>
      </x:c>
      <x:c r="B1" s="65" t="str">
        <x:v>Área</x:v>
      </x:c>
      <x:c r="C1" s="65" t="str">
        <x:v>Situação</x:v>
      </x:c>
      <x:c r="D1" s="65" t="str">
        <x:v>Impacto</x:v>
      </x:c>
      <x:c r="E1" s="65" t="str">
        <x:v>Ação recomendada</x:v>
      </x:c>
      <x:c r="F1" s="65" t="str">
        <x:v>Status</x:v>
      </x:c>
      <x:c r="H1" s="72" t="str">
        <x:v>Ajuste Beta 1.1.22</x:v>
      </x:c>
      <x:c r="I1" s="72" t="str">
        <x:v>Valor</x:v>
      </x:c>
      <x:c r="J1" s="72" t="str">
        <x:v>Observação</x:v>
      </x:c>
    </x:row>
    <x:row r="2">
      <x:c r="A2" t="str">
        <x:v>OK</x:v>
      </x:c>
      <x:c r="B2" t="str">
        <x:v>CIDADES</x:v>
      </x:c>
      <x:c r="C2" t="str">
        <x:v>92 destinos revisados visualmente no PDF Rodotec, páginas 1 e 2.</x:v>
      </x:c>
      <x:c r="D2" t="str">
        <x:v>Percentual e frete mínimo podem ser usados por cidade via REGIOES.</x:v>
      </x:c>
      <x:c r="E2" t="str">
        <x:v>Usar a aba RODOTEC_DESTINOS como checklist e a aba REGIOES para o programa.</x:v>
      </x:c>
      <x:c r="F2" t="str">
        <x:v>FINALIZADO</x:v>
      </x:c>
      <x:c r="H2" t="str">
        <x:v>Base Cálculo</x:v>
      </x:c>
      <x:c r="I2" t="str">
        <x:v>SEM_ICMS</x:v>
      </x:c>
      <x:c r="J2" t="str">
        <x:v>Rodotec/W S configurada para calcular sobre Valor do Frete sem ICMS.</x:v>
      </x:c>
    </x:row>
    <x:row r="3">
      <x:c r="A3" t="str">
        <x:v>OK</x:v>
      </x:c>
      <x:c r="B3" t="str">
        <x:v>TONELAGEM/MODAL</x:v>
      </x:c>
      <x:c r="C3" t="str">
        <x:v>Tonelagem mínima e modal foram estruturados em RODOTEC_DESTINOS e REGIOES.</x:v>
      </x:c>
      <x:c r="D3" t="str">
        <x:v>Informação deixa de ficar perdida no PDF, embora ainda não entre no cálculo automático.</x:v>
      </x:c>
      <x:c r="E3" t="str">
        <x:v>Manter como referência até o programa evoluir para cálculo por tonelagem.</x:v>
      </x:c>
      <x:c r="F3" t="str">
        <x:v>FINALIZADO_TABELA</x:v>
      </x:c>
      <x:c r="H3" t="str">
        <x:v>Frete mínimo</x:v>
      </x:c>
      <x:c r="I3" t="str">
        <x:v>Status específico</x:v>
      </x:c>
      <x:c r="J3" t="str">
        <x:v>Programa diferencia OK/DIVERGENTE com frete mínimo aplicado.</x:v>
      </x:c>
    </x:row>
    <x:row r="4">
      <x:c r="A4" t="str">
        <x:v>OK</x:v>
      </x:c>
      <x:c r="B4" t="str">
        <x:v>REGRAS_PERCENTUAL</x:v>
      </x:c>
      <x:c r="C4" t="str">
        <x:v>Regras genéricas resumidas foram desativadas.</x:v>
      </x:c>
      <x:c r="D4" t="str">
        <x:v>Evita sobreposição de regra ampla contra destino cidade a cidade.</x:v>
      </x:c>
      <x:c r="E4" t="str">
        <x:v>Não reativar enquanto REGIOES estiver completa.</x:v>
      </x:c>
      <x:c r="F4" t="str">
        <x:v>CORRIGIDO</x:v>
      </x:c>
      <x:c r="H4" t="str">
        <x:v>Programa</x:v>
      </x:c>
      <x:c r="I4" t="str">
        <x:v>Beta 1.1.22</x:v>
      </x:c>
      <x:c r="J4" t="str">
        <x:v>Lê Base Cálculo na aba REGIOES.</x:v>
      </x:c>
    </x:row>
    <x:row r="5">
      <x:c r="A5" t="str">
        <x:v>OK</x:v>
      </x:c>
      <x:c r="B5" t="str">
        <x:v>REGRAS_EXTRAS</x:v>
      </x:c>
      <x:c r="C5" t="str">
        <x:v>Extras/generalidades revisados e marcados como REVISAR_OK ou REVISAR_OK_MANUAL.</x:v>
      </x:c>
      <x:c r="D5" t="str">
        <x:v>Casos manuais ficam identificados, evitando aprovação automática indevida.</x:v>
      </x:c>
      <x:c r="E5" t="str">
        <x:v>Usar revisão manual para TPD, veículo dedicado, estadia e demais itens condicionais.</x:v>
      </x:c>
      <x:c r="F5" t="str">
        <x:v>FINALIZADO</x:v>
      </x:c>
      <x:c r="H5" t="str">
        <x:v>Data ajuste</x:v>
      </x:c>
      <x:c r="I5" t="str">
        <x:v>2026-07-04</x:v>
      </x:c>
      <x:c r="J5" t="str"/>
    </x:row>
    <x:row r="6">
      <x:c r="A6" t="str">
        <x:v>OK</x:v>
      </x:c>
      <x:c r="B6" t="str">
        <x:v>PARCEIROS</x:v>
      </x:c>
      <x:c r="C6" t="str">
        <x:v>W S Transportes/Rodotec cadastrada com CNPJ e CNPJ2.</x:v>
      </x:c>
      <x:c r="D6" t="str">
        <x:v>Identificação do XML deve funcionar para 15.186.966/0001-32 e 15.186.966/0006-47.</x:v>
      </x:c>
      <x:c r="E6" t="str">
        <x:v>Usar Beta 1.1.19 ou superior, que aceita múltiplos CNPJs por parceiro.</x:v>
      </x:c>
      <x:c r="F6" t="str">
        <x:v>FINALIZADO</x:v>
      </x:c>
    </x:row>
    <x:row r="7">
      <x:c r="A7" t="str">
        <x:v>ATENÇÃO</x:v>
      </x:c>
      <x:c r="B7" t="str">
        <x:v>PROGRAMA</x:v>
      </x:c>
      <x:c r="C7" t="str">
        <x:v>Tonelagem mínima ainda não é calculada pelo motor atual.</x:v>
      </x:c>
      <x:c r="D7" t="str">
        <x:v>Sem impacto no cálculo percentual atual, mas pode importar para cobrança por tonelagem.</x:v>
      </x:c>
      <x:c r="E7" t="str">
        <x:v>Futura atualização do programa pode usar a coluna de tonelagem.</x:v>
      </x:c>
      <x:c r="F7" t="str">
        <x:v>PENDENTE_PROGRAMA</x:v>
      </x:c>
    </x:row>
    <x:row r="8">
      <x:c r="A8"/>
      <x:c r="B8"/>
      <x:c r="C8"/>
      <x:c r="D8"/>
      <x:c r="E8"/>
      <x:c r="F8"/>
    </x:row>
    <x:row r="9">
      <x:c r="A9"/>
      <x:c r="B9"/>
      <x:c r="C9"/>
      <x:c r="D9"/>
      <x:c r="E9"/>
      <x:c r="F9"/>
    </x:row>
    <x:row r="10">
      <x:c r="A10"/>
      <x:c r="B10"/>
      <x:c r="C10"/>
      <x:c r="D10"/>
      <x:c r="E10"/>
      <x:c r="F1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35.880001068115234" hidden="0" customWidth="1"/>
    <x:col min="3" max="3" width="37.5" hidden="0" customWidth="1"/>
  </x:cols>
  <x:sheetData>
    <x:row r="1">
      <x:c r="A1" s="75" t="str">
        <x:v>Parceiro ID</x:v>
      </x:c>
      <x:c r="B1" s="75" t="str">
        <x:v>Nome no XML</x:v>
      </x:c>
      <x:c r="C1" s="75" t="str">
        <x:v>Observação</x:v>
      </x:c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t="str">
        <x:v>MILAYDE_LOBATO</x:v>
      </x:c>
      <x:c r="B2" t="str">
        <x:v>MILAYDE PATRICIA V. LOBATO LTDA</x:v>
      </x:c>
      <x:c r="C2" t="str">
        <x:v>Criado pelo diagnóstico de parceiro sem cadastro.</x:v>
      </x:c>
    </x:row>
    <x:row r="3">
      <x:c r="A3" t="str">
        <x:v>MRV_TRANSPORTES</x:v>
      </x:c>
      <x:c r="B3" t="str">
        <x:v>MRV TRANSPORTES EIRELI - EPP</x:v>
      </x:c>
      <x:c r="C3" t="str">
        <x:v>Criado pelo diagnóstico de parceiro sem cadastro.</x:v>
      </x:c>
    </x:row>
    <x:row r="4">
      <x:c r="A4" t="str">
        <x:v>MB_SERVICOS_LOG</x:v>
      </x:c>
      <x:c r="B4" t="str">
        <x:v>M. B. SERVICOS DE TRANSPORTES E LOG. EIRELI</x:v>
      </x:c>
      <x:c r="C4" t="str">
        <x:v>Criado pelo diagnóstico de parceiro sem cadastro.</x:v>
      </x:c>
    </x:row>
    <x:row r="5">
      <x:c r="A5" t="str">
        <x:v>EUNUQUES_LOPES</x:v>
      </x:c>
      <x:c r="B5" t="str">
        <x:v>EUNUQUES LOPES DA SILVA - ME</x:v>
      </x:c>
      <x:c r="C5" t="str">
        <x:v>Criado pelo diagnóstico de parceiro sem cadastro.</x:v>
      </x:c>
    </x:row>
    <x:row r="6">
      <x:c r="A6" t="str">
        <x:v>MF_LOBATO</x:v>
      </x:c>
      <x:c r="B6" t="str">
        <x:v>M. F. LOBATO LTDA</x:v>
      </x:c>
      <x:c r="C6" t="str">
        <x:v>Criado pelo diagnóstico de parceiro sem cadastro.</x:v>
      </x:c>
    </x:row>
    <x:row r="7">
      <x:c r="A7" t="str">
        <x:v>GN_NORTE</x:v>
      </x:c>
      <x:c r="B7" t="str">
        <x:v>GN TRANSPORTES LTDA</x:v>
      </x:c>
      <x:c r="C7" t="str">
        <x:v>Atualizado pelo relatório de parceiros junho/2026.</x:v>
      </x:c>
    </x:row>
    <x:row r="8">
      <x:c r="A8" t="str">
        <x:v>MRV_TRANSPORTES</x:v>
      </x:c>
      <x:c r="B8" t="str">
        <x:v>M R V TRANSPORTES EIRELI</x:v>
      </x:c>
      <x:c r="C8" t="str">
        <x:v>Alias do relatório de parceiros junho/2026.</x:v>
      </x:c>
    </x:row>
    <x:row r="9">
      <x:c r="A9" t="str">
        <x:v>MRV_TRANSPORTES</x:v>
      </x:c>
      <x:c r="B9" t="str">
        <x:v>MRV TRANSPORTES EIRELI</x:v>
      </x:c>
      <x:c r="C9" t="str">
        <x:v>Alias sem EPP para casar com XML/base.</x:v>
      </x:c>
    </x:row>
    <x:row r="10">
      <x:c r="A10" t="str">
        <x:v>MRV_TRANSPORTES</x:v>
      </x:c>
      <x:c r="B10" t="str">
        <x:v>MRV TRANSPORTES EIRELE</x:v>
      </x:c>
      <x:c r="C10" t="str">
        <x:v>Grafia do PDF da proposta MRV/Exclusiva.</x:v>
      </x:c>
    </x:row>
    <x:row r="11">
      <x:c r="A11" t="str">
        <x:v>OPAL</x:v>
      </x:c>
      <x:c r="B11" t="str">
        <x:v>OPAL ORGANIZACAO PARAENSE LTDA</x:v>
      </x:c>
      <x:c r="C11" t="str">
        <x:v>Alias já utilizado no motor.</x:v>
      </x:c>
    </x:row>
    <x:row r="12">
      <x:c r="A12" t="str">
        <x:v>OPAL</x:v>
      </x:c>
      <x:c r="B12" t="str">
        <x:v>OPAL ORGANIZACAO PARAENSE EIRELI ME</x:v>
      </x:c>
      <x:c r="C12" t="str">
        <x:v>Razão social impressa na tabela de 10/06/2026.</x:v>
      </x:c>
    </x:row>
    <x:row r="13">
      <x:c r="A13" t="str">
        <x:v>OPAL</x:v>
      </x:c>
      <x:c r="B13" t="str">
        <x:v>ORGANIZACAO PARAENSE</x:v>
      </x:c>
      <x:c r="C13" t="str">
        <x:v>Alias textual complementar.</x:v>
      </x:c>
    </x:row>
    <x:row r="14">
      <x:c r="A14" t="str">
        <x:v>AC_LOG_C_VARGAS</x:v>
      </x:c>
      <x:c r="B14" t="str">
        <x:v>AC LOG / C VARGAS</x:v>
      </x:c>
      <x:c r="C14" t="str">
        <x:v>Nome confirmado pelo usuário.</x:v>
      </x:c>
    </x:row>
    <x:row r="15">
      <x:c r="A15" t="str">
        <x:v>AC_LOG_C_VARGAS</x:v>
      </x:c>
      <x:c r="B15" t="str">
        <x:v>AC LOG</x:v>
      </x:c>
      <x:c r="C15" t="str">
        <x:v>Alias confirmado pelo usuário.</x:v>
      </x:c>
    </x:row>
    <x:row r="16">
      <x:c r="A16" t="str">
        <x:v>AC_LOG_C_VARGAS</x:v>
      </x:c>
      <x:c r="B16" t="str">
        <x:v>C VARGAS</x:v>
      </x:c>
      <x:c r="C16" t="str">
        <x:v>Alias confirmado pelo usuário.</x:v>
      </x:c>
    </x:row>
    <x:row r="17">
      <x:c r="A17" t="str">
        <x:v>M_M_TRANSPORTES</x:v>
      </x:c>
      <x:c r="B17" t="str">
        <x:v>M E M TRANSPORTES LTDA</x:v>
      </x:c>
      <x:c r="C17" t="str">
        <x:v>Razão social confirmada nos XMLs enviados.</x:v>
      </x:c>
    </x:row>
    <x:row r="18">
      <x:c r="A18" t="str">
        <x:v>M_M_TRANSPORTES</x:v>
      </x:c>
      <x:c r="B18" t="str">
        <x:v>M&amp;M TRANSPORTES</x:v>
      </x:c>
      <x:c r="C18" t="str">
        <x:v>Nome comercial da proposta.</x:v>
      </x:c>
    </x:row>
    <x:row r="19">
      <x:c r="A19" t="str">
        <x:v>M_M_TRANSPORTES</x:v>
      </x:c>
      <x:c r="B19" t="str">
        <x:v>M &amp; M TRANSPORTES</x:v>
      </x:c>
      <x:c r="C19" t="str">
        <x:v>Variação textual.</x:v>
      </x:c>
    </x:row>
    <x:row r="20">
      <x:c r="A20" t="str">
        <x:v>M_M_TRANSPORTES</x:v>
      </x:c>
      <x:c r="B20" t="str">
        <x:v>M E M TRANSPORTES</x:v>
      </x:c>
      <x:c r="C20" t="str">
        <x:v>Variação sem sufixo societário.</x:v>
      </x:c>
    </x:row>
    <x:row r="21">
      <x:c r="A21" t="str">
        <x:v>M_M_TRANSPORTES</x:v>
      </x:c>
      <x:c r="B21" t="str">
        <x:v>MM TRANSPORTES</x:v>
      </x:c>
      <x:c r="C21" t="str">
        <x:v>Variação sem pontuação.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7.25" hidden="0" customWidth="1"/>
    <x:col min="2" max="2" width="9.5" hidden="0" customWidth="1"/>
    <x:col min="3" max="3" width="66.37999725341797" hidden="0" customWidth="1"/>
    <x:col min="4" max="4" width="81.37999725341797" hidden="0" customWidth="1"/>
  </x:cols>
  <x:sheetData>
    <x:row r="1">
      <x:c r="A1" s="75" t="str">
        <x:v>Tipo</x:v>
      </x:c>
      <x:c r="B1" s="75" t="str">
        <x:v>Quantidade</x:v>
      </x:c>
      <x:c r="C1" s="75" t="str">
        <x:v>Correção aplicada / Ação</x:v>
      </x:c>
      <x:c r="D1" s="75" t="str">
        <x:v>Observação</x:v>
      </x:c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t="str">
        <x:v>Parceiros sem cadastro</x:v>
      </x:c>
      <x:c r="B2" t="n">
        <x:v>79</x:v>
      </x:c>
      <x:c r="C2" t="str">
        <x:v>Adicionados 5 novos parceiros e corrigido OPAL; regras permanecem PENDENTE_REGRA.</x:v>
      </x:c>
      <x:c r="D2" t="str">
        <x:v>Completar tabela oficial por cidade antes de considerar OK.</x:v>
      </x:c>
    </x:row>
    <x:row r="3">
      <x:c r="A3" t="str">
        <x:v>Grafias cidade que impediam match</x:v>
      </x:c>
      <x:c r="B3" t="n">
        <x:v>9</x:v>
      </x:c>
      <x:c r="C3" t="str">
        <x:v>Adicionados aliases em REGIOES.</x:v>
      </x:c>
      <x:c r="D3" t="str">
        <x:v>Inclui W_S d'Oeste, JSP Eldorado do Carajas e LN Ourilandia do Norte.</x:v>
      </x:c>
    </x:row>
    <x:row r="4">
      <x:c r="A4" t="str">
        <x:v>NF NÃO ENCONTRADA</x:v>
      </x:c>
      <x:c r="B4" t="n">
        <x:v>11</x:v>
      </x:c>
      <x:c r="C4" t="str">
        <x:v>Não corrigido na tabela de tarifas.</x:v>
      </x:c>
      <x:c r="D4" t="str">
        <x:v>Problema de base/numero de NF. Atualizar base Rodovitor ou conferir NF principal/acessória.</x:v>
      </x:c>
    </x:row>
    <x:row r="5">
      <x:c r="A5" t="str">
        <x:v>DIVERGENTE JSP Medicilândia</x:v>
      </x:c>
      <x:c r="B5" t="n">
        <x:v>2</x:v>
      </x:c>
      <x:c r="C5" t="str">
        <x:v>Não alterado automaticamente.</x:v>
      </x:c>
      <x:c r="D5" t="str">
        <x:v>Um caso parece 30%; outro parece erro de uso do Frete Origem. Requer conferência da tabela oficial/código.</x:v>
      </x:c>
    </x:row>
    <x:row r="6">
      <x:c r="A6" t="str">
        <x:v>SUBSTITUIÇÃO</x:v>
      </x:c>
      <x:c r="B6" t="n">
        <x:v>1</x:v>
      </x:c>
      <x:c r="C6" t="str">
        <x:v>Não alterado automaticamente.</x:v>
      </x:c>
      <x:c r="D6" t="str">
        <x:v>Criar regra extra SUBSTITUICAO ou permitir cálculo normal, conforme regra operacional.</x:v>
      </x:c>
    </x:row>
    <x:row r="7">
      <x:c r="A7" t="str">
        <x:v>DEVOLUÇÃO sem original</x:v>
      </x:c>
      <x:c r="B7" t="n">
        <x:v>1</x:v>
      </x:c>
      <x:c r="C7" t="str">
        <x:v>Não alterado automaticamente.</x:v>
      </x:c>
      <x:c r="D7" t="str">
        <x:v>Base possui a NF, mas sem CT-e NORMAL/ORIGINAL para cálculo.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5.880001068115234" hidden="0" customWidth="1"/>
    <x:col min="2" max="2" width="15.75" hidden="0" customWidth="1"/>
    <x:col min="3" max="3" width="3.380000114440918" hidden="0" customWidth="1"/>
    <x:col min="4" max="4" width="91.75" hidden="0" customWidth="1"/>
    <x:col min="5" max="5" width="31.1299991607666" hidden="0" customWidth="1"/>
  </x:cols>
  <x:sheetData>
    <x:row r="1">
      <x:c r="A1" s="75" t="str">
        <x:v>Parceiro XML</x:v>
      </x:c>
      <x:c r="B1" s="75" t="str">
        <x:v>CNPJ</x:v>
      </x:c>
      <x:c r="C1" s="75" t="str">
        <x:v>Qtd</x:v>
      </x:c>
      <x:c r="D1" s="75" t="str">
        <x:v>Principais cidades</x:v>
      </x:c>
      <x:c r="E1" s="75" t="str">
        <x:v>Ação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t="str">
        <x:v>MILAYDE PATRICIA V. LOBATO LTDA</x:v>
      </x:c>
      <x:c r="B2" t="str">
        <x:v>47.736.151/0001-76</x:v>
      </x:c>
      <x:c r="C2" t="n">
        <x:v>34</x:v>
      </x:c>
      <x:c r="D2" t="str">
        <x:v>SANTAREM - PA (14); ITAITUBA - PA (8); NOVO PROGRESSO - PA (3); ORIXIMINA - PA (2); PLACAS - PA (2); ALENQUER - PA (1)</x:v>
      </x:c>
      <x:c r="E2" t="str">
        <x:v>Cadastro criado como PENDENTE_REGRA</x:v>
      </x:c>
    </x:row>
    <x:row r="3">
      <x:c r="A3" t="str">
        <x:v>MRV TRANSPORTES EIRELI - EPP</x:v>
      </x:c>
      <x:c r="B3" t="str">
        <x:v>29.915.178/0001-44</x:v>
      </x:c>
      <x:c r="C3" t="n">
        <x:v>19</x:v>
      </x:c>
      <x:c r="D3" t="str">
        <x:v>PALMAS - TO (8); ARAGUAINA - TO (8); GURUPI - TO (2); COLINAS DO TOCANTINS - TO (1)</x:v>
      </x:c>
      <x:c r="E3" t="str">
        <x:v>Cadastro criado como PENDENTE_REGRA</x:v>
      </x:c>
    </x:row>
    <x:row r="4">
      <x:c r="A4" t="str">
        <x:v>M. B. SERVICOS DE TRANSPORTES E LOG. EIRELI</x:v>
      </x:c>
      <x:c r="B4" t="str">
        <x:v>27.460.061/0003-50</x:v>
      </x:c>
      <x:c r="C4" t="n">
        <x:v>15</x:v>
      </x:c>
      <x:c r="D4" t="str">
        <x:v>MACAPA - AP (14); SANTANA - AP (1)</x:v>
      </x:c>
      <x:c r="E4" t="str">
        <x:v>Cadastro criado como PENDENTE_REGRA</x:v>
      </x:c>
    </x:row>
    <x:row r="5">
      <x:c r="A5" t="str">
        <x:v>EUNUQUES LOPES DA SILVA - ME</x:v>
      </x:c>
      <x:c r="B5" t="str">
        <x:v>17.433.167/0001-49</x:v>
      </x:c>
      <x:c r="C5" t="n">
        <x:v>4</x:v>
      </x:c>
      <x:c r="D5" t="str">
        <x:v>MAE DO RIO - PA (3); DOM ELISEU - PA (1)</x:v>
      </x:c>
      <x:c r="E5" t="str">
        <x:v>Cadastro criado como PENDENTE_REGRA</x:v>
      </x:c>
    </x:row>
    <x:row r="6">
      <x:c r="A6" t="str">
        <x:v>M. F. LOBATO LTDA</x:v>
      </x:c>
      <x:c r="B6" t="str">
        <x:v>18.810.140/0001-90</x:v>
      </x:c>
      <x:c r="C6" t="n">
        <x:v>4</x:v>
      </x:c>
      <x:c r="D6" t="str">
        <x:v>PORTO DE MOZ - PA (1); PORTEL - PA (1); SENADOR JOSE PORFIRIO - PA (1); BREVES - PA (1)</x:v>
      </x:c>
      <x:c r="E6" t="str">
        <x:v>Cadastro criado como PENDENTE_REGRA</x:v>
      </x:c>
    </x:row>
    <x:row r="7">
      <x:c r="A7" t="str">
        <x:v>OPAL ORGANIZACAO PARAENSE LTDA</x:v>
      </x:c>
      <x:c r="B7" t="str">
        <x:v>05.057.690/0001-39</x:v>
      </x:c>
      <x:c r="C7" t="n">
        <x:v>3</x:v>
      </x:c>
      <x:c r="D7" t="str">
        <x:v>MACAPA - AP (2); OIAPOQUE - AP (1)</x:v>
      </x:c>
      <x:c r="E7" t="str">
        <x:v>OPAL corrigido com CNPJ/alias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35.880001068115234" hidden="0" customWidth="1"/>
    <x:col min="3" max="3" width="19" hidden="0" customWidth="1"/>
    <x:col min="4" max="4" width="13.25" hidden="0" customWidth="1"/>
    <x:col min="5" max="5" width="8.380000114440918" hidden="0" customWidth="1"/>
    <x:col min="6" max="6" width="53" hidden="0" customWidth="1"/>
  </x:cols>
  <x:sheetData>
    <x:row r="1">
      <x:c r="A1" s="75" t="str">
        <x:v>CT-e</x:v>
      </x:c>
      <x:c r="B1" s="75" t="str">
        <x:v>Parceiro XML</x:v>
      </x:c>
      <x:c r="C1" s="75" t="str">
        <x:v>NF</x:v>
      </x:c>
      <x:c r="D1" s="75" t="str">
        <x:v>Cidade/UF</x:v>
      </x:c>
      <x:c r="E1" s="75" t="str">
        <x:v>Valor XML</x:v>
      </x:c>
      <x:c r="F1" s="75" t="str">
        <x:v>Ação</x:v>
      </x:c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t="str">
        <x:v>13335</x:v>
      </x:c>
      <x:c r="B2" t="str">
        <x:v>MILAYDE PATRICIA V. LOBATO LTDA</x:v>
      </x:c>
      <x:c r="C2" t="str">
        <x:v>274188</x:v>
      </x:c>
      <x:c r="D2" t="str">
        <x:v>TRAIRAO - PA</x:v>
      </x:c>
      <x:c r="E2" t="n">
        <x:v>200</x:v>
      </x:c>
      <x:c r="F2" t="str">
        <x:v>Conferir/atualizar base Rodovitor; não é problema da tabela de tarifas.</x:v>
      </x:c>
    </x:row>
    <x:row r="3">
      <x:c r="A3" t="str">
        <x:v>25145</x:v>
      </x:c>
      <x:c r="B3" t="str">
        <x:v>SILNAVE NAVEGACAO SA</x:v>
      </x:c>
      <x:c r="C3" t="str">
        <x:v>97262</x:v>
      </x:c>
      <x:c r="D3" t="str">
        <x:v>GUARULHOS - SP</x:v>
      </x:c>
      <x:c r="E3" t="n">
        <x:v>0.01</x:v>
      </x:c>
      <x:c r="F3" t="str">
        <x:v>Conferir/atualizar base Rodovitor; não é problema da tabela de tarifas.</x:v>
      </x:c>
    </x:row>
    <x:row r="4">
      <x:c r="A4" t="str">
        <x:v>695</x:v>
      </x:c>
      <x:c r="B4" t="str">
        <x:v>M. B. SERVICOS DE TRANSPORTES E LOG. EIRELI</x:v>
      </x:c>
      <x:c r="C4" t="str">
        <x:v>596218</x:v>
      </x:c>
      <x:c r="D4" t="str">
        <x:v>MACAPA - AP</x:v>
      </x:c>
      <x:c r="E4" t="n">
        <x:v>248.6</x:v>
      </x:c>
      <x:c r="F4" t="str">
        <x:v>Conferir/atualizar base Rodovitor; não é problema da tabela de tarifas.</x:v>
      </x:c>
    </x:row>
    <x:row r="5">
      <x:c r="A5" t="str">
        <x:v>696</x:v>
      </x:c>
      <x:c r="B5" t="str">
        <x:v>M. B. SERVICOS DE TRANSPORTES E LOG. EIRELI</x:v>
      </x:c>
      <x:c r="C5" t="str">
        <x:v>125110</x:v>
      </x:c>
      <x:c r="D5" t="str">
        <x:v>MACAPA - AP</x:v>
      </x:c>
      <x:c r="E5" t="n">
        <x:v>77.22</x:v>
      </x:c>
      <x:c r="F5" t="str">
        <x:v>Conferir/atualizar base Rodovitor; não é problema da tabela de tarifas.</x:v>
      </x:c>
    </x:row>
    <x:row r="6">
      <x:c r="A6" t="str">
        <x:v>698</x:v>
      </x:c>
      <x:c r="B6" t="str">
        <x:v>M. B. SERVICOS DE TRANSPORTES E LOG. EIRELI</x:v>
      </x:c>
      <x:c r="C6" t="str">
        <x:v>38371</x:v>
      </x:c>
      <x:c r="D6" t="str">
        <x:v>MACAPA - AP</x:v>
      </x:c>
      <x:c r="E6" t="n">
        <x:v>70</x:v>
      </x:c>
      <x:c r="F6" t="str">
        <x:v>Conferir/atualizar base Rodovitor; não é problema da tabela de tarifas.</x:v>
      </x:c>
    </x:row>
    <x:row r="7">
      <x:c r="A7" t="str">
        <x:v>699</x:v>
      </x:c>
      <x:c r="B7" t="str">
        <x:v>M. B. SERVICOS DE TRANSPORTES E LOG. EIRELI</x:v>
      </x:c>
      <x:c r="C7" t="str">
        <x:v>312294</x:v>
      </x:c>
      <x:c r="D7" t="str">
        <x:v>MACAPA - AP</x:v>
      </x:c>
      <x:c r="E7" t="n">
        <x:v>77.82</x:v>
      </x:c>
      <x:c r="F7" t="str">
        <x:v>Conferir/atualizar base Rodovitor; não é problema da tabela de tarifas.</x:v>
      </x:c>
    </x:row>
    <x:row r="8">
      <x:c r="A8" t="str">
        <x:v>700</x:v>
      </x:c>
      <x:c r="B8" t="str">
        <x:v>M. B. SERVICOS DE TRANSPORTES E LOG. EIRELI</x:v>
      </x:c>
      <x:c r="C8" t="str">
        <x:v>124002</x:v>
      </x:c>
      <x:c r="D8" t="str">
        <x:v>MACAPA - AP</x:v>
      </x:c>
      <x:c r="E8" t="n">
        <x:v>76.11</x:v>
      </x:c>
      <x:c r="F8" t="str">
        <x:v>Conferir/atualizar base Rodovitor; não é problema da tabela de tarifas.</x:v>
      </x:c>
    </x:row>
    <x:row r="9">
      <x:c r="A9" t="str">
        <x:v>701</x:v>
      </x:c>
      <x:c r="B9" t="str">
        <x:v>M. B. SERVICOS DE TRANSPORTES E LOG. EIRELI</x:v>
      </x:c>
      <x:c r="C9" t="str">
        <x:v>213125</x:v>
      </x:c>
      <x:c r="D9" t="str">
        <x:v>MACAPA - AP</x:v>
      </x:c>
      <x:c r="E9" t="n">
        <x:v>849.22</x:v>
      </x:c>
      <x:c r="F9" t="str">
        <x:v>Conferir/atualizar base Rodovitor; não é problema da tabela de tarifas.</x:v>
      </x:c>
    </x:row>
    <x:row r="10">
      <x:c r="A10" t="str">
        <x:v>702</x:v>
      </x:c>
      <x:c r="B10" t="str">
        <x:v>M. B. SERVICOS DE TRANSPORTES E LOG. EIRELI</x:v>
      </x:c>
      <x:c r="C10" t="str">
        <x:v>150092, 150093, 150094</x:v>
      </x:c>
      <x:c r="D10" t="str">
        <x:v>MACAPA - AP</x:v>
      </x:c>
      <x:c r="E10" t="n">
        <x:v>526.96</x:v>
      </x:c>
      <x:c r="F10" t="str">
        <x:v>Conferir/atualizar base Rodovitor; não é problema da tabela de tarifas.</x:v>
      </x:c>
    </x:row>
    <x:row r="11">
      <x:c r="A11" t="str">
        <x:v>703</x:v>
      </x:c>
      <x:c r="B11" t="str">
        <x:v>M. B. SERVICOS DE TRANSPORTES E LOG. EIRELI</x:v>
      </x:c>
      <x:c r="C11" t="str">
        <x:v>596385</x:v>
      </x:c>
      <x:c r="D11" t="str">
        <x:v>MACAPA - AP</x:v>
      </x:c>
      <x:c r="E11" t="n">
        <x:v>216.05</x:v>
      </x:c>
      <x:c r="F11" t="str">
        <x:v>Conferir/atualizar base Rodovitor; não é problema da tabela de tarifas.</x:v>
      </x:c>
    </x:row>
    <x:row r="12">
      <x:c r="A12" t="str">
        <x:v>704</x:v>
      </x:c>
      <x:c r="B12" t="str">
        <x:v>M. B. SERVICOS DE TRANSPORTES E LOG. EIRELI</x:v>
      </x:c>
      <x:c r="C12" t="str">
        <x:v>311748</x:v>
      </x:c>
      <x:c r="D12" t="str">
        <x:v>MACAPA - AP</x:v>
      </x:c>
      <x:c r="E12" t="n">
        <x:v>211</x:v>
      </x:c>
      <x:c r="F12" t="str">
        <x:v>Conferir/atualizar base Rodovitor; não é problema da tabela de tarifas.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5.630000114440918" hidden="0" customWidth="1"/>
    <x:col min="3" max="3" width="37.130001068115234" hidden="0" customWidth="1"/>
    <x:col min="4" max="4" width="7.130000114440918" hidden="0" customWidth="1"/>
    <x:col min="5" max="5" width="22" hidden="0" customWidth="1"/>
    <x:col min="6" max="6" width="8.5" hidden="0" customWidth="1"/>
    <x:col min="7" max="7" width="8.380000114440918" hidden="0" customWidth="1"/>
    <x:col min="8" max="8" width="27.8799991607666" hidden="0" customWidth="1"/>
  </x:cols>
  <x:sheetData>
    <x:row r="1">
      <x:c r="A1" s="75" t="str">
        <x:v>CT-e</x:v>
      </x:c>
      <x:c r="B1" s="75" t="str">
        <x:v>Parceiro ID</x:v>
      </x:c>
      <x:c r="C1" s="75" t="str">
        <x:v>Parceiro XML</x:v>
      </x:c>
      <x:c r="D1" s="75" t="str">
        <x:v>NF</x:v>
      </x:c>
      <x:c r="E1" s="75" t="str">
        <x:v>Cidade/UF</x:v>
      </x:c>
      <x:c r="F1" s="75" t="str">
        <x:v>Frete Base</x:v>
      </x:c>
      <x:c r="G1" s="75" t="str">
        <x:v>Valor XML</x:v>
      </x:c>
      <x:c r="H1" s="75" t="str">
        <x:v>Ação</x:v>
      </x:c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t="str">
        <x:v>3538548</x:v>
      </x:c>
      <x:c r="B2" t="str">
        <x:v>W_S_TRANSPORTES</x:v>
      </x:c>
      <x:c r="C2" t="str">
        <x:v>W S TRANSPORTES DE CARGAS E LOGISTICA LTDA</x:v>
      </x:c>
      <x:c r="D2" t="str">
        <x:v>2468569</x:v>
      </x:c>
      <x:c r="E2" t="str">
        <x:v>ALTA FLORESTA D OESTE - RO</x:v>
      </x:c>
      <x:c r="F2" t="n">
        <x:v>407.15</x:v>
      </x:c>
      <x:c r="G2" t="n">
        <x:v>115.22</x:v>
      </x:c>
      <x:c r="H2" t="str">
        <x:v>Alias/cidade adicionado em REGIOES</x:v>
      </x:c>
    </x:row>
    <x:row r="3">
      <x:c r="A3" t="str">
        <x:v>3538553</x:v>
      </x:c>
      <x:c r="B3" t="str">
        <x:v>W_S_TRANSPORTES</x:v>
      </x:c>
      <x:c r="C3" t="str">
        <x:v>W S TRANSPORTES DE CARGAS E LOGISTICA LTDA</x:v>
      </x:c>
      <x:c r="D3" t="str">
        <x:v>10682</x:v>
      </x:c>
      <x:c r="E3" t="str">
        <x:v>MACHADINHO D OESTE - RO</x:v>
      </x:c>
      <x:c r="F3" t="n">
        <x:v>350.68</x:v>
      </x:c>
      <x:c r="G3" t="n">
        <x:v>103.92</x:v>
      </x:c>
      <x:c r="H3" t="str">
        <x:v>Alias/cidade adicionado em REGIOES</x:v>
      </x:c>
    </x:row>
    <x:row r="4">
      <x:c r="A4" t="str">
        <x:v>577467</x:v>
      </x:c>
      <x:c r="B4" t="str">
        <x:v>JSP</x:v>
      </x:c>
      <x:c r="C4" t="str">
        <x:v>JSP TRANSPORTE E LOGISTICA LTDA</x:v>
      </x:c>
      <x:c r="D4" t="str">
        <x:v>403670</x:v>
      </x:c>
      <x:c r="E4" t="str">
        <x:v>ELDORADO DO CARAJAS - PA</x:v>
      </x:c>
      <x:c r="F4" t="n">
        <x:v>678.47</x:v>
      </x:c>
      <x:c r="G4" t="n">
        <x:v>169.61</x:v>
      </x:c>
      <x:c r="H4" t="str">
        <x:v>Alias/cidade adicionado em REGIOES</x:v>
      </x:c>
    </x:row>
    <x:row r="5">
      <x:c r="A5" t="str">
        <x:v>86107</x:v>
      </x:c>
      <x:c r="B5" t="str">
        <x:v>LN</x:v>
      </x:c>
      <x:c r="C5" t="str">
        <x:v>LEN LOGISTICA LTDA</x:v>
      </x:c>
      <x:c r="D5" t="str">
        <x:v>42911</x:v>
      </x:c>
      <x:c r="E5" t="str">
        <x:v>OURILANDIA DO NORTE - PA</x:v>
      </x:c>
      <x:c r="F5" t="n">
        <x:v>383.52</x:v>
      </x:c>
      <x:c r="G5" t="n">
        <x:v>107.39</x:v>
      </x:c>
      <x:c r="H5" t="str">
        <x:v>Alias/cidade adicionado em REGIOES</x:v>
      </x:c>
    </x:row>
    <x:row r="6">
      <x:c r="A6" t="str">
        <x:v>86118</x:v>
      </x:c>
      <x:c r="B6" t="str">
        <x:v>LN</x:v>
      </x:c>
      <x:c r="C6" t="str">
        <x:v>LEN LOGISTICA LTDA</x:v>
      </x:c>
      <x:c r="D6" t="str">
        <x:v>5519</x:v>
      </x:c>
      <x:c r="E6" t="str">
        <x:v>OURILANDIA DO NORTE - PA</x:v>
      </x:c>
      <x:c r="F6" t="n">
        <x:v>282.24</x:v>
      </x:c>
      <x:c r="G6" t="n">
        <x:v>79.03</x:v>
      </x:c>
      <x:c r="H6" t="str">
        <x:v>Alias/cidade adicionado em REGIOES</x:v>
      </x:c>
    </x:row>
    <x:row r="7">
      <x:c r="A7" t="str">
        <x:v>86119</x:v>
      </x:c>
      <x:c r="B7" t="str">
        <x:v>LN</x:v>
      </x:c>
      <x:c r="C7" t="str">
        <x:v>LEN LOGISTICA LTDA</x:v>
      </x:c>
      <x:c r="D7" t="str">
        <x:v>96922</x:v>
      </x:c>
      <x:c r="E7" t="str">
        <x:v>OURILANDIA DO NORTE - PA</x:v>
      </x:c>
      <x:c r="F7" t="n">
        <x:v>1128.3</x:v>
      </x:c>
      <x:c r="G7" t="n">
        <x:v>315.92</x:v>
      </x:c>
      <x:c r="H7" t="str">
        <x:v>Alias/cidade adicionado em REGIOES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8.880000114440918" hidden="0" customWidth="1"/>
    <x:col min="3" max="3" width="6.130000114440918" hidden="0" customWidth="1"/>
    <x:col min="4" max="4" width="15" hidden="0" customWidth="1"/>
    <x:col min="5" max="5" width="8.5" hidden="0" customWidth="1"/>
    <x:col min="6" max="6" width="8.630000114440918" hidden="0" customWidth="1"/>
    <x:col min="7" max="7" width="7.630000114440918" hidden="0" customWidth="1"/>
    <x:col min="8" max="8" width="17.3799991607666" hidden="0" customWidth="1"/>
    <x:col min="9" max="9" width="7.880000114440918" hidden="0" customWidth="1"/>
    <x:col min="10" max="10" width="75.37999725341797" hidden="0" customWidth="1"/>
  </x:cols>
  <x:sheetData>
    <x:row r="1">
      <x:c r="A1" s="75" t="str">
        <x:v>CT-e</x:v>
      </x:c>
      <x:c r="B1" s="75" t="str">
        <x:v>Parceiro ID</x:v>
      </x:c>
      <x:c r="C1" s="75" t="str">
        <x:v>NF</x:v>
      </x:c>
      <x:c r="D1" s="75" t="str">
        <x:v>Cidade/UF</x:v>
      </x:c>
      <x:c r="E1" s="75" t="str">
        <x:v>Frete Base</x:v>
      </x:c>
      <x:c r="F1" s="75" t="str">
        <x:v>Percentual</x:v>
      </x:c>
      <x:c r="G1" s="75" t="str">
        <x:v>Esperado</x:v>
      </x:c>
      <x:c r="H1" s="75" t="str">
        <x:v>Valor XML comparado</x:v>
      </x:c>
      <x:c r="I1" s="75" t="str">
        <x:v>Diferença</x:v>
      </x:c>
      <x:c r="J1" s="75" t="str">
        <x:v>Observação</x:v>
      </x:c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t="str">
        <x:v>578738</x:v>
      </x:c>
      <x:c r="B2" t="str">
        <x:v>JSP</x:v>
      </x:c>
      <x:c r="C2" t="str">
        <x:v>196</x:v>
      </x:c>
      <x:c r="D2" t="str">
        <x:v>MEDICILANDIA - PA</x:v>
      </x:c>
      <x:c r="E2" t="n">
        <x:v>430.32</x:v>
      </x:c>
      <x:c r="F2" t="n">
        <x:v>0.35</x:v>
      </x:c>
      <x:c r="G2" t="n">
        <x:v>150.612</x:v>
      </x:c>
      <x:c r="H2" t="n">
        <x:v>129.09</x:v>
      </x:c>
      <x:c r="I2" t="n">
        <x:v>-21.52199999999999</x:v>
      </x:c>
      <x:c r="J2" t="str">
        <x:v>Não alterado automaticamente. Conferir JSP Medicilândia, percentual 30/35% e uso do frete origem.</x:v>
      </x:c>
    </x:row>
    <x:row r="3">
      <x:c r="A3" t="str">
        <x:v>578739</x:v>
      </x:c>
      <x:c r="B3" t="str">
        <x:v>JSP</x:v>
      </x:c>
      <x:c r="C3" t="str">
        <x:v>881000</x:v>
      </x:c>
      <x:c r="D3" t="str">
        <x:v>MEDICILANDIA - PA</x:v>
      </x:c>
      <x:c r="E3" t="n">
        <x:v>741.12</x:v>
      </x:c>
      <x:c r="F3" t="n">
        <x:v>0.35</x:v>
      </x:c>
      <x:c r="G3" t="n">
        <x:v>259.392</x:v>
      </x:c>
      <x:c r="H3" t="n">
        <x:v>136.72</x:v>
      </x:c>
      <x:c r="I3" t="n">
        <x:v>-122.672</x:v>
      </x:c>
      <x:c r="J3" t="str">
        <x:v>Não alterado automaticamente. Conferir JSP Medicilândia, percentual 30/35% e uso do frete origem.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5.25" hidden="0" customWidth="1"/>
    <x:col min="2" max="2" width="35.880001068115234" hidden="0" customWidth="1"/>
    <x:col min="3" max="3" width="16.25" hidden="0" customWidth="1"/>
    <x:col min="4" max="4" width="2.630000114440918" hidden="0" customWidth="1"/>
    <x:col min="5" max="5" width="8.630000114440918" hidden="0" customWidth="1"/>
    <x:col min="6" max="6" width="10.75" hidden="0" customWidth="1"/>
    <x:col min="7" max="7" width="32.630001068115234" hidden="0" customWidth="1"/>
    <x:col min="8" max="8" width="48.75" hidden="0" customWidth="1"/>
  </x:cols>
  <x:sheetData>
    <x:row r="1">
      <x:c r="A1" s="79" t="str">
        <x:v>Parceiro ID</x:v>
      </x:c>
      <x:c r="B1" s="79" t="str">
        <x:v>Parceiro</x:v>
      </x:c>
      <x:c r="C1" s="79" t="str">
        <x:v>Cidade</x:v>
      </x:c>
      <x:c r="D1" s="79" t="str">
        <x:v>UF</x:v>
      </x:c>
      <x:c r="E1" s="79" t="str">
        <x:v>Percentual</x:v>
      </x:c>
      <x:c r="F1" s="79" t="str">
        <x:v>Frete mínimo</x:v>
      </x:c>
      <x:c r="G1" s="79" t="str">
        <x:v>Fonte</x:v>
      </x:c>
      <x:c r="H1" s="79" t="str">
        <x:v>Atenção</x:v>
      </x:c>
    </x:row>
    <x:row r="2">
      <x:c r="A2" t="str">
        <x:v>MB_SERVICOS_LOG</x:v>
      </x:c>
      <x:c r="B2" t="str">
        <x:v>M. B. SERVICOS DE TRANSPORTES E LOG. EIRELI</x:v>
      </x:c>
      <x:c r="C2" t="str">
        <x:v>MACAPA</x:v>
      </x:c>
      <x:c r="D2" t="str">
        <x:v>AP</x:v>
      </x:c>
      <x:c r="E2" t="str">
        <x:v>23%</x:v>
      </x:c>
      <x:c r="F2" t="str">
        <x:v>R$70</x:v>
      </x:c>
      <x:c r="G2" t="str">
        <x:v>Tabela MB LOGISTICA.pdf</x:v>
      </x:c>
      <x:c r="H2" t="str">
        <x:v>Usuário confirmou vínculo; usar CNPJ XML como correto</x:v>
      </x:c>
    </x:row>
    <x:row r="3">
      <x:c r="A3" t="str">
        <x:v>MB_SERVICOS_LOG</x:v>
      </x:c>
      <x:c r="B3" t="str">
        <x:v>M. B. SERVICOS DE TRANSPORTES E LOG. EIRELI</x:v>
      </x:c>
      <x:c r="C3" t="str">
        <x:v>SANTANA</x:v>
      </x:c>
      <x:c r="D3" t="str">
        <x:v>AP</x:v>
      </x:c>
      <x:c r="E3" t="str">
        <x:v>23%</x:v>
      </x:c>
      <x:c r="F3" t="str">
        <x:v>R$70</x:v>
      </x:c>
      <x:c r="G3" t="str">
        <x:v>Tabela MB LOGISTICA.pdf</x:v>
      </x:c>
      <x:c r="H3" t="str">
        <x:v>Usuário confirmou vínculo; usar CNPJ XML como correto</x:v>
      </x:c>
    </x:row>
    <x:row r="4">
      <x:c r="A4" t="str">
        <x:v>MB_SERVICOS_LOG</x:v>
      </x:c>
      <x:c r="B4" t="str">
        <x:v>M. B. SERVICOS DE TRANSPORTES E LOG. EIRELI</x:v>
      </x:c>
      <x:c r="C4" t="str">
        <x:v>OIAPOQUE</x:v>
      </x:c>
      <x:c r="D4" t="str">
        <x:v>AP</x:v>
      </x:c>
      <x:c r="E4" t="str">
        <x:v>27%</x:v>
      </x:c>
      <x:c r="F4" t="str">
        <x:v>R$250</x:v>
      </x:c>
      <x:c r="G4" t="str">
        <x:v>Tabela MB LOGISTICA.pdf</x:v>
      </x:c>
      <x:c r="H4" t="str">
        <x:v>Interiores-AP</x:v>
      </x:c>
    </x:row>
    <x:row r="5">
      <x:c r="A5" t="str">
        <x:v>MB_SERVICOS_LOG</x:v>
      </x:c>
      <x:c r="B5" t="str">
        <x:v>M. B. SERVICOS DE TRANSPORTES E LOG. EIRELI</x:v>
      </x:c>
      <x:c r="C5" t="str">
        <x:v>LARANJAL DO JARI</x:v>
      </x:c>
      <x:c r="D5" t="str">
        <x:v>AP</x:v>
      </x:c>
      <x:c r="E5" t="str">
        <x:v>27%</x:v>
      </x:c>
      <x:c r="F5" t="str">
        <x:v>R$250</x:v>
      </x:c>
      <x:c r="G5" t="str">
        <x:v>Tabela MB LOGISTICA.pdf</x:v>
      </x:c>
      <x:c r="H5" t="str">
        <x:v>Interiores-AP</x:v>
      </x:c>
    </x:row>
    <x:row r="6">
      <x:c r="A6" t="str">
        <x:v>MILAYDE_LOBATO</x:v>
      </x:c>
      <x:c r="B6" t="str">
        <x:v>MILAYDE PATRICIA V. LOBATO LTDA</x:v>
      </x:c>
      <x:c r="C6" t="str">
        <x:v>SANTAREM</x:v>
      </x:c>
      <x:c r="D6" t="str">
        <x:v>PA</x:v>
      </x:c>
      <x:c r="E6" t="str">
        <x:v>33%</x:v>
      </x:c>
      <x:c r="F6" t="str">
        <x:v>R$92</x:v>
      </x:c>
      <x:c r="G6" t="str">
        <x:v>TABELA MILAYDE PATRICIA.pdf</x:v>
      </x:c>
      <x:c r="H6" t="str">
        <x:v>Usuário confirmou vínculo; usar CNPJ XML como correto</x:v>
      </x:c>
    </x:row>
    <x:row r="7">
      <x:c r="A7" t="str">
        <x:v>MILAYDE_LOBATO</x:v>
      </x:c>
      <x:c r="B7" t="str">
        <x:v>MILAYDE PATRICIA V. LOBATO LTDA</x:v>
      </x:c>
      <x:c r="C7" t="str">
        <x:v>PRAINHA</x:v>
      </x:c>
      <x:c r="D7" t="str">
        <x:v>PA</x:v>
      </x:c>
      <x:c r="E7" t="str">
        <x:v>35%</x:v>
      </x:c>
      <x:c r="F7" t="str">
        <x:v>R$92</x:v>
      </x:c>
      <x:c r="G7" t="str">
        <x:v>TABELA MILAYDE PATRICIA.pdf</x:v>
      </x:c>
      <x:c r="H7" t="str">
        <x:v>Taxa mínima interpretada do quadro</x:v>
      </x:c>
    </x:row>
    <x:row r="8">
      <x:c r="A8" t="str">
        <x:v>MILAYDE_LOBATO</x:v>
      </x:c>
      <x:c r="B8" t="str">
        <x:v>MILAYDE PATRICIA V. LOBATO LTDA</x:v>
      </x:c>
      <x:c r="C8" t="str">
        <x:v>ITAITUBA</x:v>
      </x:c>
      <x:c r="D8" t="str">
        <x:v>PA</x:v>
      </x:c>
      <x:c r="E8" t="str">
        <x:v>40%</x:v>
      </x:c>
      <x:c r="F8" t="str">
        <x:v>R$138</x:v>
      </x:c>
      <x:c r="G8" t="str">
        <x:v>TABELA MILAYDE PATRICIA.pdf</x:v>
      </x:c>
      <x:c r="H8" t="str">
        <x:v>Usuário confirmou vínculo; usar CNPJ XML como correto</x:v>
      </x:c>
    </x:row>
    <x:row r="9">
      <x:c r="A9" t="str">
        <x:v>EUNUQUES_LOPES</x:v>
      </x:c>
      <x:c r="B9" t="str">
        <x:v>EUNUQUES LOPES DA SILVA - ME</x:v>
      </x:c>
      <x:c r="C9" t="str">
        <x:v>MAE DO RIO</x:v>
      </x:c>
      <x:c r="D9" t="str">
        <x:v>PA</x:v>
      </x:c>
      <x:c r="E9" t="str">
        <x:v>20%</x:v>
      </x:c>
      <x:c r="F9" t="str">
        <x:v>R$70</x:v>
      </x:c>
      <x:c r="G9" t="str">
        <x:v>TABELA EUNUQUES LOPES.pdf</x:v>
      </x:c>
      <x:c r="H9" t="str">
        <x:v>Usuário confirmou vínculo operacional; usar CNPJ XML como correto</x:v>
      </x:c>
    </x:row>
    <x:row r="10">
      <x:c r="A10" t="str">
        <x:v>EUNUQUES_LOPES</x:v>
      </x:c>
      <x:c r="B10" t="str">
        <x:v>EUNUQUES LOPES DA SILVA - ME</x:v>
      </x:c>
      <x:c r="C10" t="str">
        <x:v>IPIXUNA DO PARA</x:v>
      </x:c>
      <x:c r="D10" t="str">
        <x:v>PA</x:v>
      </x:c>
      <x:c r="E10" t="str">
        <x:v>20%</x:v>
      </x:c>
      <x:c r="F10" t="str">
        <x:v>R$60</x:v>
      </x:c>
      <x:c r="G10" t="str">
        <x:v>TABELA EUNUQUES LOPES.pdf</x:v>
      </x:c>
      <x:c r="H10" t="str">
        <x:v>Cidade Ipixuna do Pará</x:v>
      </x:c>
    </x:row>
    <x:row r="11">
      <x:c r="A11" t="str">
        <x:v>MF_LOBATO</x:v>
      </x:c>
      <x:c r="B11" t="str">
        <x:v>M. F. LOBATO LTDA</x:v>
      </x:c>
      <x:c r="C11" t="str">
        <x:v>LIMOEIRO DO AJURU</x:v>
      </x:c>
      <x:c r="D11" t="str">
        <x:v>PA</x:v>
      </x:c>
      <x:c r="E11" t="str">
        <x:v>40%</x:v>
      </x:c>
      <x:c r="F11" t="str">
        <x:v>R$40</x:v>
      </x:c>
      <x:c r="G11" t="str">
        <x:v>TABELA MARAJO CARGAS (MF LOBATO).pdf</x:v>
      </x:c>
      <x:c r="H11" t="str">
        <x:v>CNPJ confere com parceiro</x:v>
      </x:c>
    </x:row>
    <x:row r="12">
      <x:c r="A12" t="str">
        <x:v>MRV_TRANSPORTES</x:v>
      </x:c>
      <x:c r="B12" t="str">
        <x:v>MRV TRANSPORTES EIRELI</x:v>
      </x:c>
      <x:c r="C12" t="str">
        <x:v>PALMAS</x:v>
      </x:c>
      <x:c r="D12" t="str">
        <x:v>TO</x:v>
      </x:c>
      <x:c r="E12" t="str">
        <x:v>25%</x:v>
      </x:c>
      <x:c r="F12" t="str">
        <x:v>R$40</x:v>
      </x:c>
      <x:c r="G12" t="str">
        <x:v>Tabela MRV Logistica.pdf</x:v>
      </x:c>
      <x:c r="H12" t="str">
        <x:v>Base ORIGEM; acima de 10t: Palmas 20%, demais TO 25%.</x:v>
      </x:c>
    </x:row>
    <x:row r="13">
      <x:c r="A13" t="str">
        <x:v>MRV_TRANSPORTES</x:v>
      </x:c>
      <x:c r="B13" t="str">
        <x:v>MRV TRANSPORTES EIRELI</x:v>
      </x:c>
      <x:c r="C13" t="str">
        <x:v>DIVERSOS</x:v>
      </x:c>
      <x:c r="D13" t="str">
        <x:v>TO</x:v>
      </x:c>
      <x:c r="E13" t="str">
        <x:v>30%</x:v>
      </x:c>
      <x:c r="F13" t="str">
        <x:v>R$60</x:v>
      </x:c>
      <x:c r="G13" t="str">
        <x:v>Tabela MRV Logistica.pdf</x:v>
      </x:c>
      <x:c r="H13" t="str">
        <x:v>Regra genérica para demais cidades TO; base ORIGEM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22.75" hidden="0" customWidth="1"/>
    <x:col min="3" max="3" width="15.75" hidden="0" customWidth="1"/>
    <x:col min="4" max="4" width="37.25" hidden="0" customWidth="1"/>
  </x:cols>
  <x:sheetData>
    <x:row r="1">
      <x:c r="A1" s="84" t="str">
        <x:v>Atualização</x:v>
      </x:c>
      <x:c r="B1" s="84" t="str">
        <x:v>Parceiro ID</x:v>
      </x:c>
      <x:c r="C1" s="84" t="str">
        <x:v>CNPJ</x:v>
      </x:c>
      <x:c r="D1" s="84" t="str">
        <x:v>Observação</x:v>
      </x:c>
    </x:row>
    <x:row r="2">
      <x:c r="A2" t="str">
        <x:v>2026-07-06</x:v>
      </x:c>
      <x:c r="B2" t="str">
        <x:v>GN_NORTE</x:v>
      </x:c>
      <x:c r="C2" t="str">
        <x:v>27.900.805/0002-29</x:v>
      </x:c>
      <x:c r="D2" t="str">
        <x:v>CNPJ adicionado conforme relatório de parceiros.</x:v>
      </x:c>
    </x:row>
    <x:row r="3">
      <x:c r="A3" t="str">
        <x:v>2026-07-06</x:v>
      </x:c>
      <x:c r="B3" t="str">
        <x:v>M E M TRANSPORTES LTDA</x:v>
      </x:c>
      <x:c r="C3" t="str">
        <x:v>59.339.996/0001-07</x:v>
      </x:c>
      <x:c r="D3" t="str">
        <x:v>Desconsiderado: parceiro não será mais utilizado.</x:v>
      </x:c>
    </x:row>
    <x:row r="4">
      <x:c r="A4" t="str">
        <x:v>2026-07-06</x:v>
      </x:c>
      <x:c r="B4" t="str">
        <x:v>LEOFRAN TRANSPORTES LTDA</x:v>
      </x:c>
      <x:c r="C4" t="str">
        <x:v>02.259.840/0001-07</x:v>
      </x:c>
      <x:c r="D4" t="str">
        <x:v>Desconsiderado: parceiro não será mais utilizado.</x:v>
      </x:c>
    </x:row>
    <x:row r="5">
      <x:c r="A5" t="str">
        <x:v>2026-07-06</x:v>
      </x:c>
      <x:c r="B5" t="str">
        <x:v>C VARGAS LOGISTICA EIRELI</x:v>
      </x:c>
      <x:c r="C5" t="str">
        <x:v>34.059.736/0001-57</x:v>
      </x:c>
      <x:c r="D5" t="str">
        <x:v>Desconsiderado: parceiro não será mais utilizado.</x:v>
      </x:c>
    </x:row>
    <x:row r="6">
      <x:c r="A6" t="str">
        <x:v>2026-07-06</x:v>
      </x:c>
      <x:c r="B6" t="str">
        <x:v>MB_SERVICOS_LOG</x:v>
      </x:c>
      <x:c r="C6" t="str">
        <x:v>27.460.061/0003-50</x:v>
      </x:c>
      <x:c r="D6" t="str">
        <x:v>Usuário confirmou que o CNPJ correto é o do XML/relatório; PDF pertence ao mesmo parceiro operacional.</x:v>
      </x:c>
    </x:row>
    <x:row r="7">
      <x:c r="A7" t="str">
        <x:v>2026-07-06</x:v>
      </x:c>
      <x:c r="B7" t="str">
        <x:v>MILAYDE_LOBATO</x:v>
      </x:c>
      <x:c r="C7" t="str">
        <x:v>47.736.151/0001-76</x:v>
      </x:c>
      <x:c r="D7" t="str">
        <x:v>Usuário confirmou que o CNPJ correto é o do XML/relatório; PDF Fênix/Mauro é do mesmo parceiro operacional.</x:v>
      </x:c>
    </x:row>
    <x:row r="8">
      <x:c r="A8" t="str">
        <x:v>2026-07-06</x:v>
      </x:c>
      <x:c r="B8" t="str">
        <x:v>EUNUQUES_LOPES</x:v>
      </x:c>
      <x:c r="C8" t="str">
        <x:v>17.433.167/0001-49</x:v>
      </x:c>
      <x:c r="D8" t="str">
        <x:v>Usuário confirmou vínculo operacional; manter CNPJ do XML/relatório.</x:v>
      </x:c>
    </x:row>
    <x:row r="9">
      <x:c r="A9" t="str">
        <x:v>2026-07-06</x:v>
      </x:c>
      <x:c r="B9" t="str">
        <x:v>MRV_TRANSPORTES</x:v>
      </x:c>
      <x:c r="C9" t="str">
        <x:v>29.915.178/0001-44</x:v>
      </x:c>
      <x:c r="D9" t="str">
        <x:v>Tabela MRV/Exclusiva cadastrada: Palmas 25% mín. R$40; demais TO 30% mín. R$60; base ORIGEM.</x:v>
      </x:c>
    </x:row>
    <x:row r="10">
      <x:c r="A10" t="str">
        <x:v>Beta 2.6.8</x:v>
      </x:c>
      <x:c r="B10" t="str">
        <x:v>MRV_TRANSPORTES</x:v>
      </x:c>
      <x:c r="C10" t="str">
        <x:v>Regra peso especial</x:v>
      </x:c>
      <x:c r="D10" t="str">
        <x:v>Acima de 10.000 kg: Palmas 20%, demais TO 25%, base ORIGEM. Corrigido após confirmação do usuário pela anotação manual da tabela MRV.</x:v>
      </x:c>
    </x:row>
    <x:row r="11">
      <x:c r="A11" t="str">
        <x:v>Beta 2.6.8</x:v>
      </x:c>
      <x:c r="B11" t="str">
        <x:v>MB/MILAYDE/EUNUQUES</x:v>
      </x:c>
      <x:c r="C11" t="str">
        <x:v>CNPJ confirmado</x:v>
      </x:c>
      <x:c r="D11" t="str">
        <x:v>Usar CNPJ do XML/relatório como correto.</x:v>
      </x:c>
    </x:row>
    <x:row r="12">
      <x:c r="A12" t="str">
        <x:v>Beta 2.6.8</x:v>
      </x:c>
      <x:c r="B12" t="str">
        <x:v>Motor</x:v>
      </x:c>
      <x:c r="C12" t="str">
        <x:v>Nova aba REGRAS_PESO_ESPECIAL</x:v>
      </x:c>
      <x:c r="D12" t="str">
        <x:v>Regra aplicada automaticamente quando peso XML &gt; limite.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0" hidden="0" customWidth="1"/>
    <x:col min="5" max="5" width="16" hidden="0" customWidth="1"/>
    <x:col min="6" max="6" width="12" hidden="0" customWidth="1"/>
    <x:col min="7" max="7" width="14" hidden="0" customWidth="1"/>
    <x:col min="8" max="8" width="14" hidden="0" customWidth="1"/>
    <x:col min="9" max="9" width="16" hidden="0" customWidth="1"/>
    <x:col min="10" max="10" width="28" hidden="0" customWidth="1"/>
    <x:col min="11" max="11" width="60" hidden="0" customWidth="1"/>
  </x:cols>
  <x:sheetData>
    <x:row r="1">
      <x:c r="A1" s="88" t="str">
        <x:v>Regra ID</x:v>
      </x:c>
      <x:c r="B1" s="88" t="str">
        <x:v>Parceiro ID</x:v>
      </x:c>
      <x:c r="C1" s="88" t="str">
        <x:v>Destino Cidade</x:v>
      </x:c>
      <x:c r="D1" s="88" t="str">
        <x:v>Destino UF</x:v>
      </x:c>
      <x:c r="E1" s="88" t="str">
        <x:v>Peso Mínimo KG</x:v>
      </x:c>
      <x:c r="F1" s="88" t="str">
        <x:v>Percentual</x:v>
      </x:c>
      <x:c r="G1" s="88" t="str">
        <x:v>Frete Mínimo</x:v>
      </x:c>
      <x:c r="H1" s="88" t="str">
        <x:v>Base Cálculo</x:v>
      </x:c>
      <x:c r="I1" s="88" t="str">
        <x:v>Modo Cálculo</x:v>
      </x:c>
      <x:c r="J1" s="88" t="str">
        <x:v>Fonte PDF</x:v>
      </x:c>
      <x:c r="K1" s="88" t="str">
        <x:v>Observação</x:v>
      </x:c>
    </x:row>
    <x:row r="2" ht="34" customHeight="1">
      <x:c r="A2" s="12" t="str">
        <x:v>MRV_ACIMA10T_PALMAS</x:v>
      </x:c>
      <x:c r="B2" s="12" t="str">
        <x:v>MRV_TRANSPORTES</x:v>
      </x:c>
      <x:c r="C2" s="12" t="str">
        <x:v>PALMAS</x:v>
      </x:c>
      <x:c r="D2" s="12" t="str">
        <x:v>TO</x:v>
      </x:c>
      <x:c r="E2" s="12" t="n">
        <x:v>10000</x:v>
      </x:c>
      <x:c r="F2" s="12" t="str">
        <x:v>20%</x:v>
      </x:c>
      <x:c r="G2" s="12" t="n">
        <x:v>40</x:v>
      </x:c>
      <x:c r="H2" s="12" t="str">
        <x:v>ORIGEM</x:v>
      </x:c>
      <x:c r="I2" s="12" t="str">
        <x:v>PESO_ESPECIAL</x:v>
      </x:c>
      <x:c r="J2" s="12" t="str">
        <x:v>Tabela MRV Logistica.pdf p.4</x:v>
      </x:c>
      <x:c r="K2" s="12" t="str">
        <x:v>Regra confirmada pelo usuário a partir da anotação manual da tabela MRV/Exclusiva: carga acima de 10 mil kg por DACTE, Palmas 20% sobre frete origem.</x:v>
      </x:c>
    </x:row>
    <x:row r="3" ht="34" customHeight="1">
      <x:c r="A3" s="12" t="str">
        <x:v>MRV_ACIMA10T_TO_DEMAIS</x:v>
      </x:c>
      <x:c r="B3" s="12" t="str">
        <x:v>MRV_TRANSPORTES</x:v>
      </x:c>
      <x:c r="C3" s="12" t="str"/>
      <x:c r="D3" s="12" t="str">
        <x:v>TO</x:v>
      </x:c>
      <x:c r="E3" s="12" t="n">
        <x:v>10000</x:v>
      </x:c>
      <x:c r="F3" s="12" t="str">
        <x:v>25%</x:v>
      </x:c>
      <x:c r="G3" s="12" t="n">
        <x:v>60</x:v>
      </x:c>
      <x:c r="H3" s="12" t="str">
        <x:v>ORIGEM</x:v>
      </x:c>
      <x:c r="I3" s="12" t="str">
        <x:v>PESO_ESPECIAL</x:v>
      </x:c>
      <x:c r="J3" s="12" t="str">
        <x:v>Tabela MRV Logistica.pdf p.4</x:v>
      </x:c>
      <x:c r="K3" s="12" t="str">
        <x:v>Regra impressa: carga acima de 10 mil kg por DACTE, demais cidades do Tocantins 25% sobre frete origem.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4" hidden="0" customWidth="1"/>
    <x:col min="4" max="4" width="55" hidden="0" customWidth="1"/>
    <x:col min="5" max="5" width="38" hidden="0" customWidth="1"/>
    <x:col min="6" max="6" width="18" hidden="0" customWidth="1"/>
  </x:cols>
  <x:sheetData>
    <x:row r="1">
      <x:c r="A1" s="109" t="str">
        <x:v>Data</x:v>
      </x:c>
      <x:c r="B1" s="110" t="str">
        <x:v>Categoria</x:v>
      </x:c>
      <x:c r="C1" s="110" t="str">
        <x:v>Parceiro</x:v>
      </x:c>
      <x:c r="D1" s="110" t="str">
        <x:v>Correção</x:v>
      </x:c>
      <x:c r="E1" s="110" t="str">
        <x:v>Origem</x:v>
      </x:c>
      <x:c r="F1" s="111" t="str">
        <x:v>Status</x:v>
      </x:c>
    </x:row>
    <x:row r="2">
      <x:c r="A2" s="112" t="str">
        <x:v>20/07/2026</x:v>
      </x:c>
      <x:c r="B2" s="113" t="str">
        <x:v>Tabela percentual</x:v>
      </x:c>
      <x:c r="C2" s="113" t="str">
        <x:v>MF_LOBATO</x:v>
      </x:c>
      <x:c r="D2" s="113" t="str">
        <x:v>Senador José Porfírio: 7% sobre valor da mercadoria, mínimo R$150,00</x:v>
      </x:c>
      <x:c r="E2" s="113" t="str">
        <x:v>Tabela Marajó Cargas, proposta RE9070 de 11/03/2026</x:v>
      </x:c>
      <x:c r="F2" s="114" t="str">
        <x:v>IMPLEMENTADO</x:v>
      </x:c>
    </x:row>
    <x:row r="3">
      <x:c r="A3" s="112" t="str">
        <x:v>20/07/2026</x:v>
      </x:c>
      <x:c r="B3" s="113" t="str">
        <x:v>Regra extra</x:v>
      </x:c>
      <x:c r="C3" s="113" t="str">
        <x:v>MRV_TRANSPORTES</x:v>
      </x:c>
      <x:c r="D3" s="113" t="str">
        <x:v>Reentrega: Palmas 50%; demais cidades TO 100% do frete de origem</x:v>
      </x:c>
      <x:c r="E3" s="113" t="str">
        <x:v>Tabela MRV Logística, página 4</x:v>
      </x:c>
      <x:c r="F3" s="114" t="str">
        <x:v>IMPLEMENTADO</x:v>
      </x:c>
    </x:row>
    <x:row r="4">
      <x:c r="A4" s="112" t="str">
        <x:v>20/07/2026</x:v>
      </x:c>
      <x:c r="B4" s="113" t="str">
        <x:v>Regra extra</x:v>
      </x:c>
      <x:c r="C4" s="113" t="str">
        <x:v>W_S_TRANSPORTES</x:v>
      </x:c>
      <x:c r="D4" s="113" t="str">
        <x:v>Reembolso de descarga e capatazia classificados como EXTRA REVISAR</x:v>
      </x:c>
      <x:c r="E4" s="113" t="str">
        <x:v>Rodotec, página 2</x:v>
      </x:c>
      <x:c r="F4" s="114" t="str">
        <x:v>IMPLEMENTADO</x:v>
      </x:c>
    </x:row>
    <x:row r="5">
      <x:c r="A5" s="112" t="str">
        <x:v>20/07/2026</x:v>
      </x:c>
      <x:c r="B5" s="113" t="str">
        <x:v>Regra extra</x:v>
      </x:c>
      <x:c r="C5" s="113" t="str">
        <x:v>FENIX / MILAYDE_LOBATO</x:v>
      </x:c>
      <x:c r="D5" s="113" t="str">
        <x:v>TDE, tempo excedido e tabela antiga separados do frete normal</x:v>
      </x:c>
      <x:c r="E5" s="113" t="str">
        <x:v>Tabela Milayde/Fênix, página 2</x:v>
      </x:c>
      <x:c r="F5" s="114" t="str">
        <x:v>IMPLEMENTADO</x:v>
      </x:c>
    </x:row>
    <x:row r="6">
      <x:c r="A6" s="112" t="str">
        <x:v>20/07/2026</x:v>
      </x:c>
      <x:c r="B6" s="113" t="str">
        <x:v>Regra extra</x:v>
      </x:c>
      <x:c r="C6" s="113" t="str">
        <x:v>MB_SERVICOS_LOG</x:v>
      </x:c>
      <x:c r="D6" s="113" t="str">
        <x:v>Operação dedicada/fixa exige confirmação de veículo e faixa</x:v>
      </x:c>
      <x:c r="E6" s="113" t="str">
        <x:v>Tabela MB Logística, página 2</x:v>
      </x:c>
      <x:c r="F6" s="114" t="str">
        <x:v>IMPLEMENTADO</x:v>
      </x:c>
    </x:row>
    <x:row r="7">
      <x:c r="A7" s="112" t="str">
        <x:v>20/07/2026</x:v>
      </x:c>
      <x:c r="B7" s="113" t="str">
        <x:v>Motor</x:v>
      </x:c>
      <x:c r="C7" s="113" t="str">
        <x:v>TODOS</x:v>
      </x:c>
      <x:c r="D7" s="113" t="str">
        <x:v>Normalização de município remove acentos, hífens e pontuação</x:v>
      </x:c>
      <x:c r="E7" s="113" t="str">
        <x:v>Relatório de validação de 553 XMLs</x:v>
      </x:c>
      <x:c r="F7" s="114" t="str">
        <x:v>IMPLEMENTADO</x:v>
      </x:c>
    </x:row>
    <x:row r="8">
      <x:c r="A8" s="112" t="str">
        <x:v>20/07/2026</x:v>
      </x:c>
      <x:c r="B8" s="113" t="str">
        <x:v>Motor</x:v>
      </x:c>
      <x:c r="C8" s="113" t="str">
        <x:v>TODOS</x:v>
      </x:c>
      <x:c r="D8" s="113" t="str">
        <x:v>Busca prioriza docAnt/chCTe antes da NF</x:v>
      </x:c>
      <x:c r="E8" s="113" t="str">
        <x:v>Relatório de validação de 553 XMLs</x:v>
      </x:c>
      <x:c r="F8" s="114" t="str">
        <x:v>IMPLEMENTADO</x:v>
      </x:c>
    </x:row>
    <x:row r="9">
      <x:c r="A9" s="112" t="str">
        <x:v>20/07/2026</x:v>
      </x:c>
      <x:c r="B9" s="113" t="str">
        <x:v>Motor</x:v>
      </x:c>
      <x:c r="C9" s="113" t="str">
        <x:v>TODOS</x:v>
      </x:c>
      <x:c r="D9" s="113" t="str">
        <x:v>Base de cálculo MERCADORIA habilitada em percentuais</x:v>
      </x:c>
      <x:c r="E9" s="113" t="str">
        <x:v>Relatório de validação e tabela MF Lobato</x:v>
      </x:c>
      <x:c r="F9" s="114" t="str">
        <x:v>IMPLEMENTADO</x:v>
      </x:c>
    </x:row>
    <x:row r="10">
      <x:c r="A10" s="112" t="str">
        <x:v>20/07/2026</x:v>
      </x:c>
      <x:c r="B10" s="113" t="str">
        <x:v>Motor</x:v>
      </x:c>
      <x:c r="C10" s="113" t="str">
        <x:v>JSP</x:v>
      </x:c>
      <x:c r="D10" s="113" t="str">
        <x:v>Parauapebas: adicional fixo de R$2,05 por CT-e quando o XML não apresenta pedágio separado</x:v>
      </x:c>
      <x:c r="E10" s="113" t="str">
        <x:v>CT-e 579882, vínculo docAnt + generalidades da tabela JSP</x:v>
      </x:c>
      <x:c r="F10" s="114" t="str">
        <x:v>IMPLEMENTADO</x:v>
      </x:c>
    </x:row>
    <x:row r="11">
      <x:c r="A11" s="115" t="str">
        <x:v>20/07/2026</x:v>
      </x:c>
      <x:c r="B11" s="116" t="str">
        <x:v>Motor</x:v>
      </x:c>
      <x:c r="C11" s="116" t="str">
        <x:v>W_S_TRANSPORTES</x:v>
      </x:c>
      <x:c r="D11" s="116" t="str">
        <x:v>Fallback por componentes Frete Peso + GRIS + Pedágio</x:v>
      </x:c>
      <x:c r="E11" s="116" t="str">
        <x:v>Tabela Rodotec</x:v>
      </x:c>
      <x:c r="F11" s="117" t="str">
        <x:v>IMPLEMENTADO</x:v>
      </x:c>
    </x:row>
    <x:row r="12">
      <x:c r="A12" t="str">
        <x:v>31/07/2026</x:v>
      </x:c>
      <x:c r="B12" t="str">
        <x:v>Cadastro / Frete peso</x:v>
      </x:c>
      <x:c r="C12" t="str">
        <x:v>AC_LOG_C_VARGAS</x:v>
      </x:c>
      <x:c r="D12" t="str">
        <x:v>CNPJ 34.059.736/0001-57 confirmado; valor por tonelada tratado como FRETE PESO: kg × tarifa por kg (ex.: 0,36796 e 1,10387).</x:v>
      </x:c>
      <x:c r="E12" t="str">
        <x:v>Confirmação direta do usuário sobre a tabela AC Log / C Vargas</x:v>
      </x:c>
      <x:c r="F12" t="str">
        <x:v>IMPLEMENTADO</x:v>
      </x:c>
    </x:row>
  </x:sheetData>
  <x:pageMargins left="0.7" right="0.7" top="0.75" bottom="0.75" header="0.3" footer="0.3"/>
</x:worksheet>
</file>